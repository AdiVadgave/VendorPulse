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3"/>
  </bookViews>
  <sheets>
    <sheet r:id="rId1" name="Overview" sheetId="1"/>
    <sheet r:id="rId2" name="MVP Scope" sheetId="2"/>
    <sheet r:id="rId3" name="Milestones" sheetId="3"/>
    <sheet r:id="rId4" name="Task Tracker" sheetId="4"/>
    <sheet r:id="rId5" name="Module Exit Criteria" sheetId="5"/>
    <sheet r:id="rId6" name="Weekly Progress Log" sheetId="6"/>
    <sheet r:id="rId7" name="Scope Change Log" sheetId="7"/>
    <sheet r:id="rId8" name="Dashboard" sheetId="8"/>
  </sheets>
  <definedNames>
    <definedName name="_xlnm._FilterDatabase" localSheetId="3">'Task Tracker'!$A$4:$L$69</definedName>
  </definedNames>
  <calcPr calcId="0" iterateCount="100" iterateDelta="0.001"/>
</workbook>
</file>

<file path=xl/sharedStrings.xml><?xml version="1.0" encoding="utf-8"?>
<sst xmlns="http://schemas.openxmlformats.org/spreadsheetml/2006/main" count="357" uniqueCount="357">
  <si>
    <t>VendorPulse — MVP Delivery Tracker</t>
  </si>
  <si>
    <t>Track build progress against the current in-scope MVP. Update daily/weekly. Keep the team focused; surface drift early.</t>
  </si>
  <si>
    <t>How to use this workbook</t>
  </si>
  <si>
    <t>1. The 'Task Tracker' is the main sheet — work the tasks, set Status and % Complete as you go.</t>
  </si>
  <si>
    <t>2. A module is only 'Done' when every row for it is Done AND its 'Module Exit Criteria' all pass.</t>
  </si>
  <si>
    <t>3. Log progress each day/week in 'Weekly Progress Log' to track velocity and catch drift early.</t>
  </si>
  <si>
    <t>4. The current scope is the MVP baseline ('MVP Scope'). Anything new from the discovery phase goes</t>
  </si>
  <si>
    <t xml:space="preserve">   into 'Scope Change Log' first — decide in/out before it touches the plan. Don't silently expand scope.</t>
  </si>
  <si>
    <t>5. 'Dashboard' auto-summarises status and % complete by area (formulas).</t>
  </si>
  <si>
    <t>6. Status values: Not Started, In Progress, In Review, Blocked, Done (colour-coded in Task Tracker).</t>
  </si>
  <si>
    <t>Legend — Status colours</t>
  </si>
  <si>
    <t>Done</t>
  </si>
  <si>
    <t>In Progress</t>
  </si>
  <si>
    <t>In Review</t>
  </si>
  <si>
    <t>Blocked</t>
  </si>
  <si>
    <t>Not Started</t>
  </si>
  <si>
    <t>Sheets</t>
  </si>
  <si>
    <t>• MVP Scope — what is in / out of the MVP baseline</t>
  </si>
  <si>
    <t>• Milestones — phase/week plan with status</t>
  </si>
  <si>
    <t>• Task Tracker — granular tasks + Definition of Done (main sheet)</t>
  </si>
  <si>
    <t>• Module Exit Criteria — the gate checklist to call a module done</t>
  </si>
  <si>
    <t>• Weekly Progress Log — running progress log</t>
  </si>
  <si>
    <t>• Scope Change Log — discovery-phase changes vs the baseline</t>
  </si>
  <si>
    <t>• Dashboard — auto summaries</t>
  </si>
  <si>
    <t>MVP Scope Baseline</t>
  </si>
  <si>
    <t>This is the agreed MVP. Treat it as the frozen target. New asks go through Scope Change Log.</t>
  </si>
  <si>
    <t>Category</t>
  </si>
  <si>
    <t>In scope (MVP)</t>
  </si>
  <si>
    <t>Out of scope / later</t>
  </si>
  <si>
    <t>Workflow</t>
  </si>
  <si>
    <t>12-state forward-only WorkflowEngine; all 6 modules A–F</t>
  </si>
  <si>
    <t>Parallel/branching workflows; multi-cycle batch ops</t>
  </si>
  <si>
    <t>Module A — Scheduling</t>
  </si>
  <si>
    <t>Attendee refresh, availability, deterministic slot ranking, invite + Teams meeting after approval, RSVP</t>
  </si>
  <si>
    <t>Auto-rescheduling; external attendee self-service</t>
  </si>
  <si>
    <t>Module B — Scorecard</t>
  </si>
  <si>
    <t>Native in-app form, distribution via Graph mail, deterministic validation + compile + outliers</t>
  </si>
  <si>
    <t>Third-party survey tools; weighted scoring config UI</t>
  </si>
  <si>
    <t>Module C — Alignment</t>
  </si>
  <si>
    <t>AI draft action items + score-change summary, human-approved</t>
  </si>
  <si>
    <t>Auto-assignment of actions to owners</t>
  </si>
  <si>
    <t>Module D — Vendor Prep</t>
  </si>
  <si>
    <t>AI vendor brief + 3 response options per pushback, human-approved</t>
  </si>
  <si>
    <t>Vendor-facing portal</t>
  </si>
  <si>
    <t>Module E — Meeting</t>
  </si>
  <si>
    <t>Transcript parse, AI minutes, send after approval, Blob storage</t>
  </si>
  <si>
    <t>Live in-meeting transcription; real-time copilots</t>
  </si>
  <si>
    <t>Module F — Analytics</t>
  </si>
  <si>
    <t>Deterministic trends/trajectories + AI leadership brief card</t>
  </si>
  <si>
    <t>Predictive forecasting; cross-tenant benchmarking</t>
  </si>
  <si>
    <t>AI</t>
  </si>
  <si>
    <t>Single in-house AI Service -&gt; Azure AI Foundry GPT-4o (in-tenant), draft text only, behind approval gate</t>
  </si>
  <si>
    <t>MAF SDK (removed); agentic multi-step autonomy; Anthropic/other LLMs</t>
  </si>
  <si>
    <t>Identity</t>
  </si>
  <si>
    <t>Entra SSO (OIDC) + RBAC (Coordinator/Sponsor/Viewer); Graph app-only certificate</t>
  </si>
  <si>
    <t>Guest/B2B external identities</t>
  </si>
  <si>
    <t>Hosting</t>
  </si>
  <si>
    <t>2 Azure VMs in Private VNet; App Gateway + WAF (Front Door removed)</t>
  </si>
  <si>
    <t>Container Apps / Foundry Hosted Agents (future)</t>
  </si>
  <si>
    <t>Data</t>
  </si>
  <si>
    <t>PostgreSQL Flexible Server (system of record); Blob for files; KV for secrets</t>
  </si>
  <si>
    <t>Data warehouse / BI export; pgvector RAG</t>
  </si>
  <si>
    <t>Observability</t>
  </si>
  <si>
    <t>App Insights + Log Analytics via OpenTelemetry; immutable audit</t>
  </si>
  <si>
    <t>Custom SIEM integration</t>
  </si>
  <si>
    <t>Integrations</t>
  </si>
  <si>
    <t>Microsoft Graph (Mail.Send, Calendars.ReadWrite, OnlineMeetings)</t>
  </si>
  <si>
    <t>Non-Microsoft mail/calendar</t>
  </si>
  <si>
    <t>Admin</t>
  </si>
  <si>
    <t>Admin module, Shell branding, Outlook templates</t>
  </si>
  <si>
    <t>Self-service tenant onboarding</t>
  </si>
  <si>
    <t>Milestones / Phase Plan</t>
  </si>
  <si>
    <t>High-level phases. Fill target dates and update status as you go.</t>
  </si>
  <si>
    <t>Phase</t>
  </si>
  <si>
    <t>Key outcomes</t>
  </si>
  <si>
    <t>Target date</t>
  </si>
  <si>
    <t>Status</t>
  </si>
  <si>
    <t>% Complete</t>
  </si>
  <si>
    <t>Notes</t>
  </si>
  <si>
    <t>Phase 0 — Pre-mobilisation</t>
  </si>
  <si>
    <t>Shell provisions Entra app regs + admin consent, service mailbox, Azure infra, DNS/TLS, repo + CI/CD; LLM provider confirmed</t>
  </si>
  <si>
    <t>Week 1 — Foundations &amp; migration</t>
  </si>
  <si>
    <t>JSON-&gt;Postgres, Key Vault, remove Google, Entra SSO+RBAC, Graph cert, Module A live, design freeze</t>
  </si>
  <si>
    <t>Week 2 — Development</t>
  </si>
  <si>
    <t>All modules built, scorecard, branding, Outlook templates, admin module, code freeze</t>
  </si>
  <si>
    <t>Week 3 — Stabilisation &amp; UAT</t>
  </si>
  <si>
    <t>Hardening, UAT by Shell VMO, observability + runbook, defect fixes, release readiness</t>
  </si>
  <si>
    <t>Week 4 — Deployment &amp; warranty</t>
  </si>
  <si>
    <t>IT Security sign-off, CAB, prod cutover &amp; go-live, pilot cycle, training, warranty begins</t>
  </si>
  <si>
    <t>Parallel — Compliance</t>
  </si>
  <si>
    <t>AI Registry/IAQ, EU AI Act classification, Shell.AI + TRB approval (external lead time)</t>
  </si>
  <si>
    <t>Must clear before prod</t>
  </si>
  <si>
    <t>Task Tracker</t>
  </si>
  <si>
    <t>The main sheet. Each row has a Definition of Done. Set Status + % as you progress. Filter by Area.</t>
  </si>
  <si>
    <t>Area</t>
  </si>
  <si>
    <t>ID</t>
  </si>
  <si>
    <t>Task / Deliverable</t>
  </si>
  <si>
    <t>Definition of Done (acceptance criteria)</t>
  </si>
  <si>
    <t>Owner</t>
  </si>
  <si>
    <t>Est (d)</t>
  </si>
  <si>
    <t>Start</t>
  </si>
  <si>
    <t>Target</t>
  </si>
  <si>
    <t>Actual done</t>
  </si>
  <si>
    <t>Notes / Blockers</t>
  </si>
  <si>
    <t>Foundations</t>
  </si>
  <si>
    <t>FND-1</t>
  </si>
  <si>
    <t>Provision 2 Azure VMs in Private VNet (IaC: Bicep/Terraform)</t>
  </si>
  <si>
    <t>Both VMs deployed via IaC; VNet-private; reproducible; peer-reviewed</t>
  </si>
  <si>
    <t>FND-2</t>
  </si>
  <si>
    <t>Application Gateway + WAF (OWASP), origin-lock, TLS</t>
  </si>
  <si>
    <t>Only App Gateway reaches the VMs; OWASP rules on; TLS terminated; backend has no public IP</t>
  </si>
  <si>
    <t>FND-3</t>
  </si>
  <si>
    <t>PostgreSQL Flexible Server (VNet-private, SSL)</t>
  </si>
  <si>
    <t>DB reachable only inside VNet; SSL enforced; credentials stored in Key Vault</t>
  </si>
  <si>
    <t>FND-4</t>
  </si>
  <si>
    <t>JSON/SQLite -&gt; PostgreSQL migration (BaseRepository seam)</t>
  </si>
  <si>
    <t>All entities persist to Postgres; repository seam swapped; no file persistence; data integrity verified</t>
  </si>
  <si>
    <t>FND-5</t>
  </si>
  <si>
    <t>Key Vault + Managed Identity</t>
  </si>
  <si>
    <t>All secrets (LLM key, Graph cert, JWT key, DB creds) in KV; fetched via MI at runtime; no secrets in code/.env in deployed envs</t>
  </si>
  <si>
    <t>FND-6</t>
  </si>
  <si>
    <t>Entra SSO (OIDC) + JWT validation</t>
  </si>
  <si>
    <t>Login via Shell Entra; every protected route validates JWT against well-known config; unauthenticated requests rejected</t>
  </si>
  <si>
    <t>FND-7</t>
  </si>
  <si>
    <t>RBAC (Coordinator / Sponsor / Viewer) from token claims</t>
  </si>
  <si>
    <t>Roles enforced server-side; UI reflects role; Viewer cannot mutate state</t>
  </si>
  <si>
    <t>FND-8</t>
  </si>
  <si>
    <t>Graph app-only certificate auth (MSAL, mailbox-scoped)</t>
  </si>
  <si>
    <t>App authenticates with cert from KV; Application Access Policy limits to service mailbox; token auto-refresh</t>
  </si>
  <si>
    <t>FND-9</t>
  </si>
  <si>
    <t>Remove Google / Gmail / Forms components</t>
  </si>
  <si>
    <t>No Google packages or config remain; functions moved to Graph + native form</t>
  </si>
  <si>
    <t>FND-10</t>
  </si>
  <si>
    <t>App Insights + OpenTelemetry instrumentation</t>
  </si>
  <si>
    <t>Traces/metrics/logs emitted via OTel; correlation IDs link HTTP &lt;-&gt; service &lt;-&gt; model; immutable audit trail</t>
  </si>
  <si>
    <t>FND-11</t>
  </si>
  <si>
    <t>Egress proxy configuration on VM2 (HTTP(S)_PROXY)</t>
  </si>
  <si>
    <t>All outbound (Graph, Foundry) routed via Shell egress; no direct internet egress</t>
  </si>
  <si>
    <t>FND-12</t>
  </si>
  <si>
    <t>WorkflowEngine (12-state, forward-only) verified/ported</t>
  </si>
  <si>
    <t>Invalid transitions raise error -&gt; 409; single source of truth; unit-tested across all 12 states</t>
  </si>
  <si>
    <t>FND-13</t>
  </si>
  <si>
    <t>Approval gate (HITL) framework</t>
  </si>
  <si>
    <t>AI outputs flagged requires_approval; external actions fire only from deterministic route post-approval; agent has no side-effect tool</t>
  </si>
  <si>
    <t>FND-14</t>
  </si>
  <si>
    <t>AI Service (Azure AI Foundry GPT-4o; MAF removed)</t>
  </si>
  <si>
    <t>AI Service wraps Foundry via Azure OpenAI SDK; in-tenant; returns drafted text only; structured output validated</t>
  </si>
  <si>
    <t>FND-15</t>
  </si>
  <si>
    <t>AgentResponse contract + adapter</t>
  </si>
  <si>
    <t>Single response shape for AI and deterministic paths; frontend depends on it; both paths emit identical envelope</t>
  </si>
  <si>
    <t>FND-16</t>
  </si>
  <si>
    <t>CI/CD pipeline (build, lint, SAST/dep/secret scan, deploy) + regression tests</t>
  </si>
  <si>
    <t>Pipeline gates deploys; scans pass; regression covers approval gate, deterministic path, AgentResponse; prod needs manual approval</t>
  </si>
  <si>
    <t>A1</t>
  </si>
  <si>
    <t>Cycle creation (route + repo, state CYCLE_CREATED)</t>
  </si>
  <si>
    <t>Cycle created, persisted; state set via WorkflowEngine</t>
  </si>
  <si>
    <t>A2</t>
  </si>
  <si>
    <t>Attendee refresh (Graph User.Read.All)</t>
  </si>
  <si>
    <t>Attendee list pulled/refreshed; state ATTENDEE_REFRESH_SENT</t>
  </si>
  <si>
    <t>A3</t>
  </si>
  <si>
    <t>Availability collection (Graph calendar free/busy)</t>
  </si>
  <si>
    <t>Availability gathered for attendees; state AVAILABILITY_COLLECTED</t>
  </si>
  <si>
    <t>A4</t>
  </si>
  <si>
    <t>Deterministic slot ranking</t>
  </si>
  <si>
    <t>Slots ranked by deterministic algorithm; reproducible; no LLM</t>
  </si>
  <si>
    <t>A5</t>
  </si>
  <si>
    <t>AI Service: polish invite text (optional)</t>
  </si>
  <si>
    <t>Draft invite generated; requires_approval; deterministic fallback text when LLM off</t>
  </si>
  <si>
    <t>A6</t>
  </si>
  <si>
    <t>Approval + send invites (Graph Calendars.ReadWrite, OnlineMeetings)</t>
  </si>
  <si>
    <t>Invite/Teams meeting created only after human approval, from deterministic route; state MEETING_SCHEDULED</t>
  </si>
  <si>
    <t>A7</t>
  </si>
  <si>
    <t>RSVP status tracking</t>
  </si>
  <si>
    <t>RSVP statuses read from Graph and surfaced in UI</t>
  </si>
  <si>
    <t>A8</t>
  </si>
  <si>
    <t>Frontend Scheduling module + ApprovalPanel + progress bar</t>
  </si>
  <si>
    <t>UI drives Module A end to end; role-gated; reflects workflow state</t>
  </si>
  <si>
    <t>B1</t>
  </si>
  <si>
    <t>Scorecard request distribution (native form magic-link via Graph mail)</t>
  </si>
  <si>
    <t>Requests sent to stakeholders; state SCORECARD_REQUEST_SENT</t>
  </si>
  <si>
    <t>B2</t>
  </si>
  <si>
    <t>Native in-app scorecard form (React) + SSO / one-time token</t>
  </si>
  <si>
    <t>Internal via SSO, external via one-time token; submissions validated</t>
  </si>
  <si>
    <t>B3</t>
  </si>
  <si>
    <t>Collection + polling / status</t>
  </si>
  <si>
    <t>Submissions tracked; state SCORECARD_COLLECTION</t>
  </si>
  <si>
    <t>B4</t>
  </si>
  <si>
    <t>Deterministic validation</t>
  </si>
  <si>
    <t>All scores validated by rules; invalid rejected; no LLM</t>
  </si>
  <si>
    <t>B5</t>
  </si>
  <si>
    <t>Compile + outlier detection (deterministic)</t>
  </si>
  <si>
    <t>Compiled scorecard; outliers flagged deterministically; state SCORECARD_COMPILED</t>
  </si>
  <si>
    <t>B6</t>
  </si>
  <si>
    <t>Frontend Scorecard module + status dashboard</t>
  </si>
  <si>
    <t>Coordinator sees collection status; compiled view renders</t>
  </si>
  <si>
    <t>C1</t>
  </si>
  <si>
    <t>AI Service: extract action items from notes</t>
  </si>
  <si>
    <t>Draft action items; requires_approval; grounded in notes; audited</t>
  </si>
  <si>
    <t>C2</t>
  </si>
  <si>
    <t>AI Service: summarise score changes</t>
  </si>
  <si>
    <t>Draft summary grounded in compiled scorecard; requires_approval</t>
  </si>
  <si>
    <t>C3</t>
  </si>
  <si>
    <t>Approval gate integration</t>
  </si>
  <si>
    <t>AI outputs approved before use; deterministic fallback available</t>
  </si>
  <si>
    <t>C4</t>
  </si>
  <si>
    <t>Frontend Alignment module</t>
  </si>
  <si>
    <t>UI shows/edits/approves; state INTERNAL_ALIGNMENT</t>
  </si>
  <si>
    <t>D1</t>
  </si>
  <si>
    <t>AI Service: generate vendor brief</t>
  </si>
  <si>
    <t>Draft brief grounded in cycle data; requires_approval; audited</t>
  </si>
  <si>
    <t>D2</t>
  </si>
  <si>
    <t>AI Service: draft 3 response options per pushback</t>
  </si>
  <si>
    <t>3 distinct options per pushback; requires_approval</t>
  </si>
  <si>
    <t>D3</t>
  </si>
  <si>
    <t>Brief and responses approved before they can be shared</t>
  </si>
  <si>
    <t>D4</t>
  </si>
  <si>
    <t>Frontend Vendor Prep module</t>
  </si>
  <si>
    <t>UI renders brief + options; state VENDOR_PREP</t>
  </si>
  <si>
    <t>E1</t>
  </si>
  <si>
    <t>AI Service: parse transcript</t>
  </si>
  <si>
    <t>Transcript parsed into structured notes; requires_approval</t>
  </si>
  <si>
    <t>E2</t>
  </si>
  <si>
    <t>AI Service: generate meeting minutes</t>
  </si>
  <si>
    <t>Draft minutes; requires_approval; grounded in transcript</t>
  </si>
  <si>
    <t>E3</t>
  </si>
  <si>
    <t>Blob storage for transcripts / minutes (immutable)</t>
  </si>
  <si>
    <t>Stored append-only; retrievable; never updated/deleted</t>
  </si>
  <si>
    <t>E4</t>
  </si>
  <si>
    <t>Approval + send minutes (Graph Mail.Send)</t>
  </si>
  <si>
    <t>Minutes sent only after approval; state MEETING_IN_PROGRESS -&gt; POST_MEETING_COMPLETE</t>
  </si>
  <si>
    <t>E5</t>
  </si>
  <si>
    <t>Frontend Meeting module</t>
  </si>
  <si>
    <t>UI captures meeting, shows minutes, drives state</t>
  </si>
  <si>
    <t>F1</t>
  </si>
  <si>
    <t>Deterministic analytics (vendor trajectories / trends)</t>
  </si>
  <si>
    <t>Computed deterministically from cycle history; reproducible</t>
  </si>
  <si>
    <t>F2</t>
  </si>
  <si>
    <t>AI Service: leadership brief card</t>
  </si>
  <si>
    <t>Draft brief card; requires_approval; audited</t>
  </si>
  <si>
    <t>F3</t>
  </si>
  <si>
    <t>Frontend Analytics page + charts (Recharts)</t>
  </si>
  <si>
    <t>Dashboards render per completed cycle; charts correct</t>
  </si>
  <si>
    <t>Admin &amp; Branding</t>
  </si>
  <si>
    <t>ADM-1</t>
  </si>
  <si>
    <t>Admin module (user/role management, cycle config)</t>
  </si>
  <si>
    <t>Admin can manage roles/config; RBAC-gated to admin role</t>
  </si>
  <si>
    <t>ADM-2</t>
  </si>
  <si>
    <t>Shell branding applied</t>
  </si>
  <si>
    <t>Branding consistent across all UI via Design System</t>
  </si>
  <si>
    <t>ADM-3</t>
  </si>
  <si>
    <t>Outlook email templates configured</t>
  </si>
  <si>
    <t>Templates used for invites and minutes; render correctly in Outlook</t>
  </si>
  <si>
    <t>Deployment &amp; Go-Live</t>
  </si>
  <si>
    <t>DEP-1</t>
  </si>
  <si>
    <t>Staging environment + smoke tests</t>
  </si>
  <si>
    <t>Staging deployed; automated smoke tests pass</t>
  </si>
  <si>
    <t>DEP-2</t>
  </si>
  <si>
    <t>Hardening &amp; stabilisation</t>
  </si>
  <si>
    <t>UAT defects fixed; performance acceptable; error handling verified</t>
  </si>
  <si>
    <t>DEP-3</t>
  </si>
  <si>
    <t>UAT with Shell VMO team</t>
  </si>
  <si>
    <t>All UAT scenarios executed and signed off by Shell</t>
  </si>
  <si>
    <t>DEP-4</t>
  </si>
  <si>
    <t>Observability dashboards + runbook</t>
  </si>
  <si>
    <t>Dashboards live in App Insights; operational runbook documented</t>
  </si>
  <si>
    <t>DEP-5</t>
  </si>
  <si>
    <t>IT Security sign-off</t>
  </si>
  <si>
    <t>Shell IT Security review passed</t>
  </si>
  <si>
    <t>DEP-6</t>
  </si>
  <si>
    <t>CAB approval</t>
  </si>
  <si>
    <t>Change Advisory Board approval obtained</t>
  </si>
  <si>
    <t>DEP-7</t>
  </si>
  <si>
    <t>Production cutover &amp; go-live</t>
  </si>
  <si>
    <t>Prod live; pilot vendor cycle kicked off</t>
  </si>
  <si>
    <t>DEP-8</t>
  </si>
  <si>
    <t>Coordinator training &amp; handover</t>
  </si>
  <si>
    <t>Training delivered; handover docs complete</t>
  </si>
  <si>
    <t>DEP-9</t>
  </si>
  <si>
    <t>Defect-warranty support</t>
  </si>
  <si>
    <t>Warranty period active; defect process agreed</t>
  </si>
  <si>
    <t>Compliance (Shell)</t>
  </si>
  <si>
    <t>CMP-1</t>
  </si>
  <si>
    <t>AI Registry + ServiceNow registration</t>
  </si>
  <si>
    <t>System registered in AI Registry / ServiceNow</t>
  </si>
  <si>
    <t>CMP-2</t>
  </si>
  <si>
    <t>IRM risk assessment / IAQ</t>
  </si>
  <si>
    <t>IRM IAQ completed and accepted</t>
  </si>
  <si>
    <t>CMP-3</t>
  </si>
  <si>
    <t>EU AI Act classification</t>
  </si>
  <si>
    <t>Risk classification completed and recorded</t>
  </si>
  <si>
    <t>CMP-4</t>
  </si>
  <si>
    <t>Shell.AI + TRB model/design approval</t>
  </si>
  <si>
    <t>Model and design approved by Shell.AI and TRB</t>
  </si>
  <si>
    <t>CMP-5</t>
  </si>
  <si>
    <t>Entra app registrations (NonProd+Prod) + admin consent</t>
  </si>
  <si>
    <t>App regs created; admin consent granted on Graph permissions</t>
  </si>
  <si>
    <t>CMP-6</t>
  </si>
  <si>
    <t>Service mailbox + Application Access Policy</t>
  </si>
  <si>
    <t>Service mailbox provisioned; access policy scoped to the app</t>
  </si>
  <si>
    <t>CMP-7</t>
  </si>
  <si>
    <t>DNS hostnames + TLS certificates</t>
  </si>
  <si>
    <t>Prod/NonProd hostnames and TLS certs provisioned</t>
  </si>
  <si>
    <t>Module Exit Criteria (Definition of Done)</t>
  </si>
  <si>
    <t>A module is DONE only when ALL its criteria are met. Generic criteria apply to every module.</t>
  </si>
  <si>
    <t>Scope</t>
  </si>
  <si>
    <t>Exit criterion (must be true to call it done)</t>
  </si>
  <si>
    <t>Met? (Y/N)</t>
  </si>
  <si>
    <t>Evidence / notes</t>
  </si>
  <si>
    <t>ALL MODULES (generic)</t>
  </si>
  <si>
    <t>State transitions enforced only via WorkflowEngine (invalid -&gt; 409)</t>
  </si>
  <si>
    <t>Deterministic path works with ENABLE_LLM=false (where the module uses AI)</t>
  </si>
  <si>
    <t>All AI outputs pass through the approval gate — no auto-send</t>
  </si>
  <si>
    <t>AgentResponse contract honoured by both AI and deterministic paths</t>
  </si>
  <si>
    <t>Every run audited with correlation IDs (OTel -&gt; App Insights)</t>
  </si>
  <si>
    <t>RBAC enforced server-side for the module's actions</t>
  </si>
  <si>
    <t>Unit + regression tests pass in CI</t>
  </si>
  <si>
    <t>No secrets in code; all via Key Vault + Managed Identity</t>
  </si>
  <si>
    <t>Module UAT scenario executed and signed off by Shell VMO</t>
  </si>
  <si>
    <t>Invite + Teams meeting created only after approval, from deterministic route</t>
  </si>
  <si>
    <t>Slot ranking is deterministic and reproducible (no LLM)</t>
  </si>
  <si>
    <t>Cycle reaches MEETING_SCHEDULED only through the valid state path</t>
  </si>
  <si>
    <t>All scorecards validated deterministically; no LLM in the data path</t>
  </si>
  <si>
    <t>Compile + outlier detection reproducible; SCORECARD_COMPILED reached</t>
  </si>
  <si>
    <t>Action items + score-change summary are drafts, human-approved before use</t>
  </si>
  <si>
    <t>Brief + exactly 3 response options per pushback; approved before share</t>
  </si>
  <si>
    <t>Minutes sent only after approval; transcript/minutes stored immutably in Blob</t>
  </si>
  <si>
    <t>POST_MEETING_COMPLETE reached only via the valid path</t>
  </si>
  <si>
    <t>Analytics computed deterministically from history; brief card approved</t>
  </si>
  <si>
    <t>Weekly / Daily Progress Log</t>
  </si>
  <si>
    <t>One row per update. Track what shipped, overall %, blockers, and the next focus — to catch drift early.</t>
  </si>
  <si>
    <t>Week / Period</t>
  </si>
  <si>
    <t>Date</t>
  </si>
  <si>
    <t>Focus (area/module)</t>
  </si>
  <si>
    <t>Done this period</t>
  </si>
  <si>
    <t>% overall</t>
  </si>
  <si>
    <t>Blockers / risks</t>
  </si>
  <si>
    <t>Decisions</t>
  </si>
  <si>
    <t>Next focus</t>
  </si>
  <si>
    <t>Updated by</t>
  </si>
  <si>
    <t>Scope Change Log (vs MVP baseline)</t>
  </si>
  <si>
    <t>Discovery-phase or later changes land here first. Decide In MVP / Defer / Reject before touching the plan.</t>
  </si>
  <si>
    <t>Change ID</t>
  </si>
  <si>
    <t>Date raised</t>
  </si>
  <si>
    <t>Raised by</t>
  </si>
  <si>
    <t>Description</t>
  </si>
  <si>
    <t>Type</t>
  </si>
  <si>
    <t>In MVP?</t>
  </si>
  <si>
    <t>Impact (scope/time/cost)</t>
  </si>
  <si>
    <t>Decision</t>
  </si>
  <si>
    <t>Approved by</t>
  </si>
  <si>
    <t>Date decided</t>
  </si>
  <si>
    <t>Dashboard (auto)</t>
  </si>
  <si>
    <t>Summaries computed from the Task Tracker. Refreshes when you edit it.</t>
  </si>
  <si>
    <t>Overall % complete</t>
  </si>
  <si>
    <t>Tasks by status</t>
  </si>
  <si>
    <t>% complete by area</t>
  </si>
  <si>
    <t>Total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</si>
</sst>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b val="0"/>
      <i val="0"/>
      <sz val="11"/>
      <color theme="1"/>
      <name val="Calibri"/>
      <scheme val="minor"/>
    </font>
    <font>
      <b/>
      <i val="0"/>
      <sz val="16"/>
      <color rgb="FFC8102E"/>
      <name val="Calibri"/>
    </font>
    <font>
      <b val="0"/>
      <i/>
      <sz val="10"/>
      <color rgb="FF555555"/>
      <name val="Calibri"/>
    </font>
    <font>
      <b/>
      <i val="0"/>
      <sz val="11"/>
      <color rgb="FF1F3A5F"/>
      <name val="Calibri"/>
    </font>
    <font>
      <b val="0"/>
      <i val="0"/>
      <sz val="10"/>
      <color rgb="FF1A1A1A"/>
      <name val="Calibri"/>
    </font>
    <font>
      <b/>
      <i val="0"/>
      <sz val="10"/>
      <color rgb="FFFFFFFF"/>
      <name val="Calibri"/>
    </font>
    <font>
      <b/>
      <i val="0"/>
      <sz val="10"/>
      <color rgb="FF1A1A1A"/>
      <name val="Calibri"/>
    </font>
    <font>
      <b/>
      <i val="0"/>
      <sz val="14"/>
      <color rgb="FFC8102E"/>
      <name val="Calibri"/>
    </font>
    <font>
      <b/>
      <i val="0"/>
      <color auto="1"/>
      <name val="Calibri"/>
    </font>
    <font>
      <b/>
      <i val="0"/>
      <sz val="11"/>
      <color rgb="FF1F3A5F"/>
      <name val="Calibri"/>
    </font>
    <font>
      <b/>
      <i val="0"/>
      <sz val="14"/>
      <color rgb="FFC8102E"/>
      <name val="Calibri"/>
    </font>
    <font>
      <b/>
      <i val="0"/>
      <sz val="11"/>
      <color auto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EDEDED"/>
      </patternFill>
    </fill>
    <fill>
      <patternFill patternType="solid">
        <fgColor rgb="FF1F3A5F"/>
      </patternFill>
    </fill>
    <fill>
      <patternFill patternType="solid">
        <fgColor rgb="FFE9ECE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26">
    <xf numFmtId="0" fontId="0" fillId="0" borderId="0" xfId="0"/>
    <xf numFmtId="0" fontId="1" fillId="0" borderId="0" xfId="0" quotePrefix="0"/>
    <xf numFmtId="0" fontId="2" fillId="0" borderId="0" xfId="0" quotePrefix="0"/>
    <xf numFmtId="0" fontId="9" fillId="0" borderId="0" xfId="0" quotePrefix="0"/>
    <xf numFmtId="0" fontId="4" fillId="0" borderId="0" xfId="0" quotePrefix="0"/>
    <xf numFmtId="0" fontId="4" fillId="2" borderId="2" xfId="0" quotePrefix="0"/>
    <xf numFmtId="0" fontId="4" fillId="3" borderId="2" xfId="0" quotePrefix="0"/>
    <xf numFmtId="0" fontId="4" fillId="4" borderId="2" xfId="0" quotePrefix="0"/>
    <xf numFmtId="0" fontId="4" fillId="5" borderId="2" xfId="0" quotePrefix="0"/>
    <xf numFmtId="0" fontId="4" fillId="6" borderId="2" xfId="0" quotePrefix="0"/>
    <xf numFmtId="0" fontId="5" fillId="7" borderId="2" xfId="0" quotePrefix="0">
      <alignment vertical="center" wrapText="1"/>
    </xf>
    <xf numFmtId="0" fontId="4" fillId="0" borderId="2" xfId="0" quotePrefix="0">
      <alignment vertical="top"/>
    </xf>
    <xf numFmtId="0" fontId="4" fillId="0" borderId="2" xfId="0" quotePrefix="0">
      <alignment vertical="top" wrapText="1"/>
    </xf>
    <xf numFmtId="9" fontId="4" fillId="0" borderId="2" xfId="0" quotePrefix="0">
      <alignment vertical="top"/>
    </xf>
    <xf numFmtId="0" fontId="6" fillId="8" borderId="2" xfId="0" quotePrefix="0">
      <alignment vertical="top"/>
    </xf>
    <xf numFmtId="0" fontId="0" fillId="0" borderId="2" xfId="0" quotePrefix="0">
      <alignment vertical="top" wrapText="1"/>
    </xf>
    <xf numFmtId="9" fontId="0" fillId="0" borderId="2" xfId="0" quotePrefix="0">
      <alignment vertical="top" wrapText="1"/>
    </xf>
    <xf numFmtId="9" fontId="10" fillId="0" borderId="0" xfId="0" quotePrefix="0"/>
    <xf numFmtId="0" fontId="0" fillId="2" borderId="2" xfId="0" quotePrefix="0"/>
    <xf numFmtId="0" fontId="0" fillId="0" borderId="2" xfId="0" quotePrefix="0"/>
    <xf numFmtId="9" fontId="0" fillId="0" borderId="2" xfId="0" quotePrefix="0"/>
    <xf numFmtId="0" fontId="0" fillId="3" borderId="2" xfId="0" quotePrefix="0"/>
    <xf numFmtId="0" fontId="0" fillId="4" borderId="2" xfId="0" quotePrefix="0"/>
    <xf numFmtId="0" fontId="0" fillId="5" borderId="2" xfId="0" quotePrefix="0"/>
    <xf numFmtId="0" fontId="0" fillId="6" borderId="2" xfId="0" quotePrefix="0"/>
    <xf numFmtId="0" fontId="11" fillId="0" borderId="0" xfId="0" quotePrefix="0"/>
  </cellXfs>
  <cellStyles count="1">
    <cellStyle name="Normal" xfId="1"/>
  </cellStyles>
  <dxfs count="5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DEDED"/>
          <bgColor rgb="FFEDEDE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1E699B-6DCA-4C04-B21B-F88AE5F2CF84}" mc:Ignorable="x14ac xr xr2 xr3">
  <dimension ref="A1:A27"/>
  <sheetViews>
    <sheetView topLeftCell="A1" workbookViewId="0">
      <selection activeCell="A27" sqref="A27"/>
    </sheetView>
  </sheetViews>
  <sheetFormatPr defaultRowHeight="15" defaultColWidth="9.140625" customHeight="1"/>
  <cols>
    <col min="1" max="1" width="110.00390625" customWidth="1"/>
  </cols>
  <sheetData>
    <row r="1" ht="15" customHeight="1">
      <c r="A1" s="1" t="s">
        <v>0</v>
      </c>
    </row>
    <row r="2" ht="15" customHeight="1">
      <c r="A2" s="2" t="s">
        <v>1</v>
      </c>
    </row>
    <row r="4" ht="15" customHeight="1">
      <c r="A4" s="3" t="s">
        <v>2</v>
      </c>
    </row>
    <row r="5" ht="15" customHeight="1">
      <c r="A5" s="4" t="s">
        <v>3</v>
      </c>
    </row>
    <row r="6" ht="15" customHeight="1">
      <c r="A6" s="4" t="s">
        <v>4</v>
      </c>
    </row>
    <row r="7" ht="15" customHeight="1">
      <c r="A7" s="4" t="s">
        <v>5</v>
      </c>
    </row>
    <row r="8" ht="15" customHeight="1">
      <c r="A8" s="4" t="s">
        <v>6</v>
      </c>
    </row>
    <row r="9" ht="15" customHeight="1">
      <c r="A9" s="4" t="s">
        <v>7</v>
      </c>
    </row>
    <row r="10" ht="15" customHeight="1">
      <c r="A10" s="4" t="s">
        <v>8</v>
      </c>
    </row>
    <row r="11" ht="15" customHeight="1">
      <c r="A11" s="4" t="s">
        <v>9</v>
      </c>
    </row>
    <row r="13" ht="15" customHeight="1">
      <c r="A13" s="3" t="s">
        <v>10</v>
      </c>
    </row>
    <row r="14" ht="15" customHeight="1">
      <c r="A14" s="5" t="s">
        <v>11</v>
      </c>
    </row>
    <row r="15" ht="15" customHeight="1">
      <c r="A15" s="6" t="s">
        <v>12</v>
      </c>
    </row>
    <row r="16" ht="15" customHeight="1">
      <c r="A16" s="7" t="s">
        <v>13</v>
      </c>
    </row>
    <row r="17" ht="15" customHeight="1">
      <c r="A17" s="8" t="s">
        <v>14</v>
      </c>
    </row>
    <row r="18" ht="15" customHeight="1">
      <c r="A18" s="9" t="s">
        <v>15</v>
      </c>
    </row>
    <row r="20" ht="15" customHeight="1">
      <c r="A20" s="3" t="s">
        <v>16</v>
      </c>
    </row>
    <row r="21" ht="15" customHeight="1">
      <c r="A21" s="4" t="s">
        <v>17</v>
      </c>
    </row>
    <row r="22" ht="15" customHeight="1">
      <c r="A22" s="4" t="s">
        <v>18</v>
      </c>
    </row>
    <row r="23" ht="15" customHeight="1">
      <c r="A23" s="4" t="s">
        <v>19</v>
      </c>
    </row>
    <row r="24" ht="15" customHeight="1">
      <c r="A24" s="4" t="s">
        <v>20</v>
      </c>
    </row>
    <row r="25" ht="15" customHeight="1">
      <c r="A25" s="4" t="s">
        <v>21</v>
      </c>
    </row>
    <row r="26" ht="15" customHeight="1">
      <c r="A26" s="4" t="s">
        <v>22</v>
      </c>
    </row>
    <row r="27" ht="15" customHeight="1">
      <c r="A27" s="4" t="s">
        <v>23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C533C48-FE7A-45D5-8216-1AD9664C412E}" mc:Ignorable="x14ac xr xr2 xr3">
  <dimension ref="A1:C18"/>
  <sheetViews>
    <sheetView topLeftCell="A1" workbookViewId="0">
      <pane ySplit="4" topLeftCell="A5" activePane="bottomLeft" state="frozen"/>
      <selection pane="bottomLeft" activeCell="C5" sqref="C5"/>
    </sheetView>
  </sheetViews>
  <sheetFormatPr defaultRowHeight="15" defaultColWidth="9.140625" customHeight="1"/>
  <cols>
    <col min="1" max="1" width="26.00390625" customWidth="1"/>
    <col min="2" max="2" width="60.00390625" customWidth="1"/>
    <col min="3" max="3" width="45.00390625" customWidth="1"/>
  </cols>
  <sheetData>
    <row r="1" ht="15" customHeight="1">
      <c r="A1" s="1" t="s">
        <v>24</v>
      </c>
    </row>
    <row r="2" ht="15" customHeight="1">
      <c r="A2" s="2" t="s">
        <v>25</v>
      </c>
    </row>
    <row r="4" ht="15" customHeight="1">
      <c r="A4" s="10" t="s">
        <v>26</v>
      </c>
      <c r="B4" s="10" t="s">
        <v>27</v>
      </c>
      <c r="C4" s="10" t="s">
        <v>28</v>
      </c>
    </row>
    <row r="5" ht="15" customHeight="1">
      <c r="A5" s="11" t="s">
        <v>29</v>
      </c>
      <c r="B5" s="12" t="s">
        <v>30</v>
      </c>
      <c r="C5" s="12" t="s">
        <v>31</v>
      </c>
    </row>
    <row r="6" ht="15" customHeight="1">
      <c r="A6" s="11" t="s">
        <v>32</v>
      </c>
      <c r="B6" s="12" t="s">
        <v>33</v>
      </c>
      <c r="C6" s="12" t="s">
        <v>34</v>
      </c>
    </row>
    <row r="7" ht="15" customHeight="1">
      <c r="A7" s="11" t="s">
        <v>35</v>
      </c>
      <c r="B7" s="12" t="s">
        <v>36</v>
      </c>
      <c r="C7" s="12" t="s">
        <v>37</v>
      </c>
    </row>
    <row r="8" ht="15" customHeight="1">
      <c r="A8" s="11" t="s">
        <v>38</v>
      </c>
      <c r="B8" s="12" t="s">
        <v>39</v>
      </c>
      <c r="C8" s="12" t="s">
        <v>40</v>
      </c>
    </row>
    <row r="9" ht="15" customHeight="1">
      <c r="A9" s="11" t="s">
        <v>41</v>
      </c>
      <c r="B9" s="12" t="s">
        <v>42</v>
      </c>
      <c r="C9" s="12" t="s">
        <v>43</v>
      </c>
    </row>
    <row r="10" ht="15" customHeight="1">
      <c r="A10" s="11" t="s">
        <v>44</v>
      </c>
      <c r="B10" s="12" t="s">
        <v>45</v>
      </c>
      <c r="C10" s="12" t="s">
        <v>46</v>
      </c>
    </row>
    <row r="11" ht="15" customHeight="1">
      <c r="A11" s="11" t="s">
        <v>47</v>
      </c>
      <c r="B11" s="12" t="s">
        <v>48</v>
      </c>
      <c r="C11" s="12" t="s">
        <v>49</v>
      </c>
    </row>
    <row r="12" ht="15" customHeight="1">
      <c r="A12" s="11" t="s">
        <v>50</v>
      </c>
      <c r="B12" s="12" t="s">
        <v>51</v>
      </c>
      <c r="C12" s="12" t="s">
        <v>52</v>
      </c>
    </row>
    <row r="13" ht="15" customHeight="1">
      <c r="A13" s="11" t="s">
        <v>53</v>
      </c>
      <c r="B13" s="12" t="s">
        <v>54</v>
      </c>
      <c r="C13" s="12" t="s">
        <v>55</v>
      </c>
    </row>
    <row r="14" ht="15" customHeight="1">
      <c r="A14" s="11" t="s">
        <v>56</v>
      </c>
      <c r="B14" s="12" t="s">
        <v>57</v>
      </c>
      <c r="C14" s="12" t="s">
        <v>58</v>
      </c>
    </row>
    <row r="15" ht="15" customHeight="1">
      <c r="A15" s="11" t="s">
        <v>59</v>
      </c>
      <c r="B15" s="12" t="s">
        <v>60</v>
      </c>
      <c r="C15" s="12" t="s">
        <v>61</v>
      </c>
    </row>
    <row r="16" ht="15" customHeight="1">
      <c r="A16" s="11" t="s">
        <v>62</v>
      </c>
      <c r="B16" s="12" t="s">
        <v>63</v>
      </c>
      <c r="C16" s="12" t="s">
        <v>64</v>
      </c>
    </row>
    <row r="17" ht="15" customHeight="1">
      <c r="A17" s="11" t="s">
        <v>65</v>
      </c>
      <c r="B17" s="12" t="s">
        <v>66</v>
      </c>
      <c r="C17" s="12" t="s">
        <v>67</v>
      </c>
    </row>
    <row r="18" ht="15" customHeight="1">
      <c r="A18" s="11" t="s">
        <v>68</v>
      </c>
      <c r="B18" s="12" t="s">
        <v>69</v>
      </c>
      <c r="C18" s="12" t="s">
        <v>70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B456DF-BB56-4F1E-BA50-80ECDBBE20BD}" mc:Ignorable="x14ac xr xr2 xr3">
  <dimension ref="A1:F40"/>
  <sheetViews>
    <sheetView topLeftCell="A1" workbookViewId="0">
      <pane ySplit="4" topLeftCell="A5" activePane="bottomLeft" state="frozen"/>
      <selection pane="bottomLeft" activeCell="A1" sqref="A1"/>
    </sheetView>
  </sheetViews>
  <sheetFormatPr defaultRowHeight="15" defaultColWidth="9.140625" customHeight="1"/>
  <cols>
    <col min="1" max="1" width="30.00390625" customWidth="1"/>
    <col min="2" max="2" width="55.00390625" customWidth="1"/>
    <col min="3" max="4" width="14.00390625" customWidth="1"/>
    <col min="5" max="5" width="12.00390625" customWidth="1"/>
    <col min="6" max="6" width="30.00390625" customWidth="1"/>
  </cols>
  <sheetData>
    <row r="1" ht="15" customHeight="1">
      <c r="A1" s="1" t="s">
        <v>71</v>
      </c>
    </row>
    <row r="2" ht="15" customHeight="1">
      <c r="A2" s="2" t="s">
        <v>72</v>
      </c>
    </row>
    <row r="4" ht="15" customHeight="1">
      <c r="A4" s="10" t="s">
        <v>73</v>
      </c>
      <c r="B4" s="10" t="s">
        <v>74</v>
      </c>
      <c r="C4" s="10" t="s">
        <v>75</v>
      </c>
      <c r="D4" s="10" t="s">
        <v>76</v>
      </c>
      <c r="E4" s="10" t="s">
        <v>77</v>
      </c>
      <c r="F4" s="10" t="s">
        <v>78</v>
      </c>
    </row>
    <row r="5" ht="15" customHeight="1">
      <c r="A5" s="11" t="s">
        <v>79</v>
      </c>
      <c r="B5" s="12" t="s">
        <v>80</v>
      </c>
      <c r="C5" s="11"/>
      <c r="D5" s="11" t="s">
        <v>15</v>
      </c>
      <c r="E5" s="13">
        <v>0</v>
      </c>
      <c r="F5" s="12"/>
    </row>
    <row r="6" ht="15" customHeight="1">
      <c r="A6" s="11" t="s">
        <v>81</v>
      </c>
      <c r="B6" s="12" t="s">
        <v>82</v>
      </c>
      <c r="C6" s="11"/>
      <c r="D6" s="11" t="s">
        <v>15</v>
      </c>
      <c r="E6" s="13">
        <v>0</v>
      </c>
      <c r="F6" s="12"/>
    </row>
    <row r="7" ht="15" customHeight="1">
      <c r="A7" s="11" t="s">
        <v>83</v>
      </c>
      <c r="B7" s="12" t="s">
        <v>84</v>
      </c>
      <c r="C7" s="11"/>
      <c r="D7" s="11" t="s">
        <v>15</v>
      </c>
      <c r="E7" s="13">
        <v>0</v>
      </c>
      <c r="F7" s="12"/>
    </row>
    <row r="8" ht="15" customHeight="1">
      <c r="A8" s="11" t="s">
        <v>85</v>
      </c>
      <c r="B8" s="12" t="s">
        <v>86</v>
      </c>
      <c r="C8" s="11"/>
      <c r="D8" s="11" t="s">
        <v>15</v>
      </c>
      <c r="E8" s="13">
        <v>0</v>
      </c>
      <c r="F8" s="12"/>
    </row>
    <row r="9" ht="15" customHeight="1">
      <c r="A9" s="11" t="s">
        <v>87</v>
      </c>
      <c r="B9" s="12" t="s">
        <v>88</v>
      </c>
      <c r="C9" s="11"/>
      <c r="D9" s="11" t="s">
        <v>15</v>
      </c>
      <c r="E9" s="13">
        <v>0</v>
      </c>
      <c r="F9" s="12"/>
    </row>
    <row r="10" ht="15" customHeight="1">
      <c r="A10" s="11" t="s">
        <v>89</v>
      </c>
      <c r="B10" s="12" t="s">
        <v>90</v>
      </c>
      <c r="C10" s="11"/>
      <c r="D10" s="11" t="s">
        <v>15</v>
      </c>
      <c r="E10" s="13">
        <v>0</v>
      </c>
      <c r="F10" s="12" t="s">
        <v>91</v>
      </c>
    </row>
  </sheetData>
  <conditionalFormatting sqref="D5:D40">
    <cfRule type="cellIs" dxfId="0" priority="1" operator="equal" text="null">
      <formula>"Done"</formula>
    </cfRule>
  </conditionalFormatting>
  <conditionalFormatting sqref="D5:D40">
    <cfRule type="cellIs" dxfId="1" priority="2" operator="equal" text="null">
      <formula>"In Progress"</formula>
    </cfRule>
  </conditionalFormatting>
  <conditionalFormatting sqref="D5:D40">
    <cfRule type="cellIs" dxfId="2" priority="3" operator="equal" text="null">
      <formula>"In Review"</formula>
    </cfRule>
  </conditionalFormatting>
  <conditionalFormatting sqref="D5:D40">
    <cfRule type="cellIs" dxfId="3" priority="4" operator="equal" text="null">
      <formula>"Blocked"</formula>
    </cfRule>
  </conditionalFormatting>
  <conditionalFormatting sqref="D5:D40">
    <cfRule type="cellIs" dxfId="4" priority="5" operator="equal" text="null">
      <formula>"Not Started"</formula>
    </cfRule>
  </conditionalFormatting>
  <dataValidations count="1">
    <dataValidation allowBlank="1" sqref="D5:D40" type="list">
      <formula1>"Not Started,In Progress,In Review,Blocked,Done"</formula1>
    </dataValidation>
  </dataValidation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B5EB6BF-AA33-43ED-A39E-0AB0F37DBAD7}" mc:Ignorable="x14ac xr xr2 xr3">
  <dimension ref="A1:L69"/>
  <sheetViews>
    <sheetView workbookViewId="0" tabSelected="1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22.00390625" customWidth="1"/>
    <col min="2" max="2" width="8.00390625" customWidth="1"/>
    <col min="3" max="3" width="38.00390625" customWidth="1"/>
    <col min="4" max="4" width="50.00390625" customWidth="1"/>
    <col min="5" max="5" width="14.00390625" customWidth="1"/>
    <col min="6" max="6" width="7.00390625" customWidth="1"/>
    <col min="7" max="7" width="13.00390625" customWidth="1"/>
    <col min="8" max="8" width="11.00390625" customWidth="1"/>
    <col min="9" max="11" width="12.00390625" customWidth="1"/>
    <col min="12" max="12" width="30.00390625" customWidth="1"/>
  </cols>
  <sheetData>
    <row r="1" ht="15" customHeight="1">
      <c r="A1" s="1" t="s">
        <v>92</v>
      </c>
    </row>
    <row r="2" ht="15" customHeight="1">
      <c r="A2" s="2" t="s">
        <v>93</v>
      </c>
    </row>
    <row r="4" ht="15" customHeight="1">
      <c r="A4" s="10" t="s">
        <v>94</v>
      </c>
      <c r="B4" s="10" t="s">
        <v>95</v>
      </c>
      <c r="C4" s="10" t="s">
        <v>96</v>
      </c>
      <c r="D4" s="10" t="s">
        <v>97</v>
      </c>
      <c r="E4" s="10" t="s">
        <v>98</v>
      </c>
      <c r="F4" s="10" t="s">
        <v>99</v>
      </c>
      <c r="G4" s="10" t="s">
        <v>76</v>
      </c>
      <c r="H4" s="10" t="s">
        <v>77</v>
      </c>
      <c r="I4" s="10" t="s">
        <v>100</v>
      </c>
      <c r="J4" s="10" t="s">
        <v>101</v>
      </c>
      <c r="K4" s="10" t="s">
        <v>102</v>
      </c>
      <c r="L4" s="10" t="s">
        <v>103</v>
      </c>
    </row>
    <row r="5" ht="15" customHeight="1">
      <c r="A5" s="11" t="s">
        <v>104</v>
      </c>
      <c r="B5" s="11" t="s">
        <v>105</v>
      </c>
      <c r="C5" s="12" t="s">
        <v>106</v>
      </c>
      <c r="D5" s="12" t="s">
        <v>107</v>
      </c>
      <c r="E5" s="11"/>
      <c r="F5" s="11">
        <v>2</v>
      </c>
      <c r="G5" s="11" t="s">
        <v>15</v>
      </c>
      <c r="H5" s="13">
        <v>0</v>
      </c>
      <c r="I5" s="11"/>
      <c r="J5" s="11"/>
      <c r="K5" s="11"/>
      <c r="L5" s="12"/>
    </row>
    <row r="6" ht="15" customHeight="1">
      <c r="A6" s="11" t="s">
        <v>104</v>
      </c>
      <c r="B6" s="11" t="s">
        <v>108</v>
      </c>
      <c r="C6" s="12" t="s">
        <v>109</v>
      </c>
      <c r="D6" s="12" t="s">
        <v>110</v>
      </c>
      <c r="E6" s="11"/>
      <c r="F6" s="11">
        <v>1</v>
      </c>
      <c r="G6" s="11" t="s">
        <v>15</v>
      </c>
      <c r="H6" s="13">
        <v>0</v>
      </c>
      <c r="I6" s="11"/>
      <c r="J6" s="11"/>
      <c r="K6" s="11"/>
      <c r="L6" s="12"/>
    </row>
    <row r="7" ht="15" customHeight="1">
      <c r="A7" s="11" t="s">
        <v>104</v>
      </c>
      <c r="B7" s="11" t="s">
        <v>111</v>
      </c>
      <c r="C7" s="12" t="s">
        <v>112</v>
      </c>
      <c r="D7" s="12" t="s">
        <v>113</v>
      </c>
      <c r="E7" s="11"/>
      <c r="F7" s="11">
        <v>1</v>
      </c>
      <c r="G7" s="11" t="s">
        <v>15</v>
      </c>
      <c r="H7" s="13">
        <v>0</v>
      </c>
      <c r="I7" s="11"/>
      <c r="J7" s="11"/>
      <c r="K7" s="11"/>
      <c r="L7" s="12"/>
    </row>
    <row r="8" ht="15" customHeight="1">
      <c r="A8" s="11" t="s">
        <v>104</v>
      </c>
      <c r="B8" s="11" t="s">
        <v>114</v>
      </c>
      <c r="C8" s="12" t="s">
        <v>115</v>
      </c>
      <c r="D8" s="12" t="s">
        <v>116</v>
      </c>
      <c r="E8" s="11"/>
      <c r="F8" s="11">
        <v>2</v>
      </c>
      <c r="G8" s="11" t="s">
        <v>15</v>
      </c>
      <c r="H8" s="13">
        <v>0</v>
      </c>
      <c r="I8" s="11"/>
      <c r="J8" s="11"/>
      <c r="K8" s="11"/>
      <c r="L8" s="12"/>
    </row>
    <row r="9" ht="15" customHeight="1">
      <c r="A9" s="11" t="s">
        <v>104</v>
      </c>
      <c r="B9" s="11" t="s">
        <v>117</v>
      </c>
      <c r="C9" s="12" t="s">
        <v>118</v>
      </c>
      <c r="D9" s="12" t="s">
        <v>119</v>
      </c>
      <c r="E9" s="11"/>
      <c r="F9" s="11">
        <v>1</v>
      </c>
      <c r="G9" s="11" t="s">
        <v>15</v>
      </c>
      <c r="H9" s="13">
        <v>0</v>
      </c>
      <c r="I9" s="11"/>
      <c r="J9" s="11"/>
      <c r="K9" s="11"/>
      <c r="L9" s="12"/>
    </row>
    <row r="10" ht="15" customHeight="1">
      <c r="A10" s="11" t="s">
        <v>104</v>
      </c>
      <c r="B10" s="11" t="s">
        <v>120</v>
      </c>
      <c r="C10" s="12" t="s">
        <v>121</v>
      </c>
      <c r="D10" s="12" t="s">
        <v>122</v>
      </c>
      <c r="E10" s="11"/>
      <c r="F10" s="11">
        <v>1.5</v>
      </c>
      <c r="G10" s="11" t="s">
        <v>15</v>
      </c>
      <c r="H10" s="13">
        <v>0</v>
      </c>
      <c r="I10" s="11"/>
      <c r="J10" s="11"/>
      <c r="K10" s="11"/>
      <c r="L10" s="12"/>
    </row>
    <row r="11" ht="15" customHeight="1">
      <c r="A11" s="11" t="s">
        <v>104</v>
      </c>
      <c r="B11" s="11" t="s">
        <v>123</v>
      </c>
      <c r="C11" s="12" t="s">
        <v>124</v>
      </c>
      <c r="D11" s="12" t="s">
        <v>125</v>
      </c>
      <c r="E11" s="11"/>
      <c r="F11" s="11">
        <v>1</v>
      </c>
      <c r="G11" s="11" t="s">
        <v>15</v>
      </c>
      <c r="H11" s="13">
        <v>0</v>
      </c>
      <c r="I11" s="11"/>
      <c r="J11" s="11"/>
      <c r="K11" s="11"/>
      <c r="L11" s="12"/>
    </row>
    <row r="12" ht="15" customHeight="1">
      <c r="A12" s="11" t="s">
        <v>104</v>
      </c>
      <c r="B12" s="11" t="s">
        <v>126</v>
      </c>
      <c r="C12" s="12" t="s">
        <v>127</v>
      </c>
      <c r="D12" s="12" t="s">
        <v>128</v>
      </c>
      <c r="E12" s="11"/>
      <c r="F12" s="11">
        <v>1.5</v>
      </c>
      <c r="G12" s="11" t="s">
        <v>15</v>
      </c>
      <c r="H12" s="13">
        <v>0</v>
      </c>
      <c r="I12" s="11"/>
      <c r="J12" s="11"/>
      <c r="K12" s="11"/>
      <c r="L12" s="12"/>
    </row>
    <row r="13" ht="15" customHeight="1">
      <c r="A13" s="11" t="s">
        <v>104</v>
      </c>
      <c r="B13" s="11" t="s">
        <v>129</v>
      </c>
      <c r="C13" s="12" t="s">
        <v>130</v>
      </c>
      <c r="D13" s="12" t="s">
        <v>131</v>
      </c>
      <c r="E13" s="11"/>
      <c r="F13" s="11">
        <v>0.5</v>
      </c>
      <c r="G13" s="11" t="s">
        <v>15</v>
      </c>
      <c r="H13" s="13">
        <v>0</v>
      </c>
      <c r="I13" s="11"/>
      <c r="J13" s="11"/>
      <c r="K13" s="11"/>
      <c r="L13" s="12"/>
    </row>
    <row r="14" ht="15" customHeight="1">
      <c r="A14" s="11" t="s">
        <v>104</v>
      </c>
      <c r="B14" s="11" t="s">
        <v>132</v>
      </c>
      <c r="C14" s="12" t="s">
        <v>133</v>
      </c>
      <c r="D14" s="12" t="s">
        <v>134</v>
      </c>
      <c r="E14" s="11"/>
      <c r="F14" s="11">
        <v>1</v>
      </c>
      <c r="G14" s="11" t="s">
        <v>15</v>
      </c>
      <c r="H14" s="13">
        <v>0</v>
      </c>
      <c r="I14" s="11"/>
      <c r="J14" s="11"/>
      <c r="K14" s="11"/>
      <c r="L14" s="12"/>
    </row>
    <row r="15" ht="15" customHeight="1">
      <c r="A15" s="11" t="s">
        <v>104</v>
      </c>
      <c r="B15" s="11" t="s">
        <v>135</v>
      </c>
      <c r="C15" s="12" t="s">
        <v>136</v>
      </c>
      <c r="D15" s="12" t="s">
        <v>137</v>
      </c>
      <c r="E15" s="11"/>
      <c r="F15" s="11">
        <v>0.5</v>
      </c>
      <c r="G15" s="11" t="s">
        <v>15</v>
      </c>
      <c r="H15" s="13">
        <v>0</v>
      </c>
      <c r="I15" s="11"/>
      <c r="J15" s="11"/>
      <c r="K15" s="11"/>
      <c r="L15" s="12"/>
    </row>
    <row r="16" ht="15" customHeight="1">
      <c r="A16" s="11" t="s">
        <v>104</v>
      </c>
      <c r="B16" s="11" t="s">
        <v>138</v>
      </c>
      <c r="C16" s="12" t="s">
        <v>139</v>
      </c>
      <c r="D16" s="12" t="s">
        <v>140</v>
      </c>
      <c r="E16" s="11"/>
      <c r="F16" s="11">
        <v>1</v>
      </c>
      <c r="G16" s="11" t="s">
        <v>15</v>
      </c>
      <c r="H16" s="13">
        <v>0</v>
      </c>
      <c r="I16" s="11"/>
      <c r="J16" s="11"/>
      <c r="K16" s="11"/>
      <c r="L16" s="12"/>
    </row>
    <row r="17" ht="15" customHeight="1">
      <c r="A17" s="11" t="s">
        <v>104</v>
      </c>
      <c r="B17" s="11" t="s">
        <v>141</v>
      </c>
      <c r="C17" s="12" t="s">
        <v>142</v>
      </c>
      <c r="D17" s="12" t="s">
        <v>143</v>
      </c>
      <c r="E17" s="11"/>
      <c r="F17" s="11">
        <v>1.5</v>
      </c>
      <c r="G17" s="11" t="s">
        <v>15</v>
      </c>
      <c r="H17" s="13">
        <v>0</v>
      </c>
      <c r="I17" s="11"/>
      <c r="J17" s="11"/>
      <c r="K17" s="11"/>
      <c r="L17" s="12"/>
    </row>
    <row r="18" ht="15" customHeight="1">
      <c r="A18" s="11" t="s">
        <v>104</v>
      </c>
      <c r="B18" s="11" t="s">
        <v>144</v>
      </c>
      <c r="C18" s="12" t="s">
        <v>145</v>
      </c>
      <c r="D18" s="12" t="s">
        <v>146</v>
      </c>
      <c r="E18" s="11"/>
      <c r="F18" s="11">
        <v>1.5</v>
      </c>
      <c r="G18" s="11" t="s">
        <v>15</v>
      </c>
      <c r="H18" s="13">
        <v>0</v>
      </c>
      <c r="I18" s="11"/>
      <c r="J18" s="11"/>
      <c r="K18" s="11"/>
      <c r="L18" s="12"/>
    </row>
    <row r="19" ht="15" customHeight="1">
      <c r="A19" s="11" t="s">
        <v>104</v>
      </c>
      <c r="B19" s="11" t="s">
        <v>147</v>
      </c>
      <c r="C19" s="12" t="s">
        <v>148</v>
      </c>
      <c r="D19" s="12" t="s">
        <v>149</v>
      </c>
      <c r="E19" s="11"/>
      <c r="F19" s="11">
        <v>1</v>
      </c>
      <c r="G19" s="11" t="s">
        <v>15</v>
      </c>
      <c r="H19" s="13">
        <v>0</v>
      </c>
      <c r="I19" s="11"/>
      <c r="J19" s="11"/>
      <c r="K19" s="11"/>
      <c r="L19" s="12"/>
    </row>
    <row r="20" ht="15" customHeight="1">
      <c r="A20" s="11" t="s">
        <v>104</v>
      </c>
      <c r="B20" s="11" t="s">
        <v>150</v>
      </c>
      <c r="C20" s="12" t="s">
        <v>151</v>
      </c>
      <c r="D20" s="12" t="s">
        <v>152</v>
      </c>
      <c r="E20" s="11"/>
      <c r="F20" s="11">
        <v>2</v>
      </c>
      <c r="G20" s="11" t="s">
        <v>15</v>
      </c>
      <c r="H20" s="13">
        <v>0</v>
      </c>
      <c r="I20" s="11"/>
      <c r="J20" s="11"/>
      <c r="K20" s="11"/>
      <c r="L20" s="12"/>
    </row>
    <row r="21" ht="15" customHeight="1">
      <c r="A21" s="11" t="s">
        <v>32</v>
      </c>
      <c r="B21" s="11" t="s">
        <v>153</v>
      </c>
      <c r="C21" s="12" t="s">
        <v>154</v>
      </c>
      <c r="D21" s="12" t="s">
        <v>155</v>
      </c>
      <c r="E21" s="11"/>
      <c r="F21" s="11">
        <v>1</v>
      </c>
      <c r="G21" s="11" t="s">
        <v>15</v>
      </c>
      <c r="H21" s="13">
        <v>0</v>
      </c>
      <c r="I21" s="11"/>
      <c r="J21" s="11"/>
      <c r="K21" s="11"/>
      <c r="L21" s="12"/>
    </row>
    <row r="22" ht="15" customHeight="1">
      <c r="A22" s="11" t="s">
        <v>32</v>
      </c>
      <c r="B22" s="11" t="s">
        <v>156</v>
      </c>
      <c r="C22" s="12" t="s">
        <v>157</v>
      </c>
      <c r="D22" s="12" t="s">
        <v>158</v>
      </c>
      <c r="E22" s="11"/>
      <c r="F22" s="11">
        <v>1</v>
      </c>
      <c r="G22" s="11" t="s">
        <v>15</v>
      </c>
      <c r="H22" s="13">
        <v>0</v>
      </c>
      <c r="I22" s="11"/>
      <c r="J22" s="11"/>
      <c r="K22" s="11"/>
      <c r="L22" s="12"/>
    </row>
    <row r="23" ht="15" customHeight="1">
      <c r="A23" s="11" t="s">
        <v>32</v>
      </c>
      <c r="B23" s="11" t="s">
        <v>159</v>
      </c>
      <c r="C23" s="12" t="s">
        <v>160</v>
      </c>
      <c r="D23" s="12" t="s">
        <v>161</v>
      </c>
      <c r="E23" s="11"/>
      <c r="F23" s="11">
        <v>1</v>
      </c>
      <c r="G23" s="11" t="s">
        <v>15</v>
      </c>
      <c r="H23" s="13">
        <v>0</v>
      </c>
      <c r="I23" s="11"/>
      <c r="J23" s="11"/>
      <c r="K23" s="11"/>
      <c r="L23" s="12"/>
    </row>
    <row r="24" ht="15" customHeight="1">
      <c r="A24" s="11" t="s">
        <v>32</v>
      </c>
      <c r="B24" s="11" t="s">
        <v>162</v>
      </c>
      <c r="C24" s="12" t="s">
        <v>163</v>
      </c>
      <c r="D24" s="12" t="s">
        <v>164</v>
      </c>
      <c r="E24" s="11"/>
      <c r="F24" s="11">
        <v>1</v>
      </c>
      <c r="G24" s="11" t="s">
        <v>15</v>
      </c>
      <c r="H24" s="13">
        <v>0</v>
      </c>
      <c r="I24" s="11"/>
      <c r="J24" s="11"/>
      <c r="K24" s="11"/>
      <c r="L24" s="12"/>
    </row>
    <row r="25" ht="15" customHeight="1">
      <c r="A25" s="11" t="s">
        <v>32</v>
      </c>
      <c r="B25" s="11" t="s">
        <v>165</v>
      </c>
      <c r="C25" s="12" t="s">
        <v>166</v>
      </c>
      <c r="D25" s="12" t="s">
        <v>167</v>
      </c>
      <c r="E25" s="11"/>
      <c r="F25" s="11">
        <v>0.5</v>
      </c>
      <c r="G25" s="11" t="s">
        <v>15</v>
      </c>
      <c r="H25" s="13">
        <v>0</v>
      </c>
      <c r="I25" s="11"/>
      <c r="J25" s="11"/>
      <c r="K25" s="11"/>
      <c r="L25" s="12"/>
    </row>
    <row r="26" ht="15" customHeight="1">
      <c r="A26" s="11" t="s">
        <v>32</v>
      </c>
      <c r="B26" s="11" t="s">
        <v>168</v>
      </c>
      <c r="C26" s="12" t="s">
        <v>169</v>
      </c>
      <c r="D26" s="12" t="s">
        <v>170</v>
      </c>
      <c r="E26" s="11"/>
      <c r="F26" s="11">
        <v>1.5</v>
      </c>
      <c r="G26" s="11" t="s">
        <v>15</v>
      </c>
      <c r="H26" s="13">
        <v>0</v>
      </c>
      <c r="I26" s="11"/>
      <c r="J26" s="11"/>
      <c r="K26" s="11"/>
      <c r="L26" s="12"/>
    </row>
    <row r="27" ht="15" customHeight="1">
      <c r="A27" s="11" t="s">
        <v>32</v>
      </c>
      <c r="B27" s="11" t="s">
        <v>171</v>
      </c>
      <c r="C27" s="12" t="s">
        <v>172</v>
      </c>
      <c r="D27" s="12" t="s">
        <v>173</v>
      </c>
      <c r="E27" s="11"/>
      <c r="F27" s="11">
        <v>0.5</v>
      </c>
      <c r="G27" s="11" t="s">
        <v>15</v>
      </c>
      <c r="H27" s="13">
        <v>0</v>
      </c>
      <c r="I27" s="11"/>
      <c r="J27" s="11"/>
      <c r="K27" s="11"/>
      <c r="L27" s="12"/>
    </row>
    <row r="28" ht="15" customHeight="1">
      <c r="A28" s="11" t="s">
        <v>32</v>
      </c>
      <c r="B28" s="11" t="s">
        <v>174</v>
      </c>
      <c r="C28" s="12" t="s">
        <v>175</v>
      </c>
      <c r="D28" s="12" t="s">
        <v>176</v>
      </c>
      <c r="E28" s="11"/>
      <c r="F28" s="11">
        <v>1.5</v>
      </c>
      <c r="G28" s="11" t="s">
        <v>15</v>
      </c>
      <c r="H28" s="13">
        <v>0</v>
      </c>
      <c r="I28" s="11"/>
      <c r="J28" s="11"/>
      <c r="K28" s="11"/>
      <c r="L28" s="12"/>
    </row>
    <row r="29" ht="15" customHeight="1">
      <c r="A29" s="11" t="s">
        <v>35</v>
      </c>
      <c r="B29" s="11" t="s">
        <v>177</v>
      </c>
      <c r="C29" s="12" t="s">
        <v>178</v>
      </c>
      <c r="D29" s="12" t="s">
        <v>179</v>
      </c>
      <c r="E29" s="11"/>
      <c r="F29" s="11">
        <v>1</v>
      </c>
      <c r="G29" s="11" t="s">
        <v>15</v>
      </c>
      <c r="H29" s="13">
        <v>0</v>
      </c>
      <c r="I29" s="11"/>
      <c r="J29" s="11"/>
      <c r="K29" s="11"/>
      <c r="L29" s="12"/>
    </row>
    <row r="30" ht="15" customHeight="1">
      <c r="A30" s="11" t="s">
        <v>35</v>
      </c>
      <c r="B30" s="11" t="s">
        <v>180</v>
      </c>
      <c r="C30" s="12" t="s">
        <v>181</v>
      </c>
      <c r="D30" s="12" t="s">
        <v>182</v>
      </c>
      <c r="E30" s="11"/>
      <c r="F30" s="11">
        <v>1.5</v>
      </c>
      <c r="G30" s="11" t="s">
        <v>15</v>
      </c>
      <c r="H30" s="13">
        <v>0</v>
      </c>
      <c r="I30" s="11"/>
      <c r="J30" s="11"/>
      <c r="K30" s="11"/>
      <c r="L30" s="12"/>
    </row>
    <row r="31" ht="15" customHeight="1">
      <c r="A31" s="11" t="s">
        <v>35</v>
      </c>
      <c r="B31" s="11" t="s">
        <v>183</v>
      </c>
      <c r="C31" s="12" t="s">
        <v>184</v>
      </c>
      <c r="D31" s="12" t="s">
        <v>185</v>
      </c>
      <c r="E31" s="11"/>
      <c r="F31" s="11">
        <v>0.5</v>
      </c>
      <c r="G31" s="11" t="s">
        <v>15</v>
      </c>
      <c r="H31" s="13">
        <v>0</v>
      </c>
      <c r="I31" s="11"/>
      <c r="J31" s="11"/>
      <c r="K31" s="11"/>
      <c r="L31" s="12"/>
    </row>
    <row r="32" ht="15" customHeight="1">
      <c r="A32" s="11" t="s">
        <v>35</v>
      </c>
      <c r="B32" s="11" t="s">
        <v>186</v>
      </c>
      <c r="C32" s="12" t="s">
        <v>187</v>
      </c>
      <c r="D32" s="12" t="s">
        <v>188</v>
      </c>
      <c r="E32" s="11"/>
      <c r="F32" s="11">
        <v>1</v>
      </c>
      <c r="G32" s="11" t="s">
        <v>15</v>
      </c>
      <c r="H32" s="13">
        <v>0</v>
      </c>
      <c r="I32" s="11"/>
      <c r="J32" s="11"/>
      <c r="K32" s="11"/>
      <c r="L32" s="12"/>
    </row>
    <row r="33" ht="15" customHeight="1">
      <c r="A33" s="11" t="s">
        <v>35</v>
      </c>
      <c r="B33" s="11" t="s">
        <v>189</v>
      </c>
      <c r="C33" s="12" t="s">
        <v>190</v>
      </c>
      <c r="D33" s="12" t="s">
        <v>191</v>
      </c>
      <c r="E33" s="11"/>
      <c r="F33" s="11">
        <v>1</v>
      </c>
      <c r="G33" s="11" t="s">
        <v>15</v>
      </c>
      <c r="H33" s="13">
        <v>0</v>
      </c>
      <c r="I33" s="11"/>
      <c r="J33" s="11"/>
      <c r="K33" s="11"/>
      <c r="L33" s="12"/>
    </row>
    <row r="34" ht="15" customHeight="1">
      <c r="A34" s="11" t="s">
        <v>35</v>
      </c>
      <c r="B34" s="11" t="s">
        <v>192</v>
      </c>
      <c r="C34" s="12" t="s">
        <v>193</v>
      </c>
      <c r="D34" s="12" t="s">
        <v>194</v>
      </c>
      <c r="E34" s="11"/>
      <c r="F34" s="11">
        <v>1</v>
      </c>
      <c r="G34" s="11" t="s">
        <v>15</v>
      </c>
      <c r="H34" s="13">
        <v>0</v>
      </c>
      <c r="I34" s="11"/>
      <c r="J34" s="11"/>
      <c r="K34" s="11"/>
      <c r="L34" s="12"/>
    </row>
    <row r="35" ht="15" customHeight="1">
      <c r="A35" s="11" t="s">
        <v>38</v>
      </c>
      <c r="B35" s="11" t="s">
        <v>195</v>
      </c>
      <c r="C35" s="12" t="s">
        <v>196</v>
      </c>
      <c r="D35" s="12" t="s">
        <v>197</v>
      </c>
      <c r="E35" s="11"/>
      <c r="F35" s="11">
        <v>1</v>
      </c>
      <c r="G35" s="11" t="s">
        <v>15</v>
      </c>
      <c r="H35" s="13">
        <v>0</v>
      </c>
      <c r="I35" s="11"/>
      <c r="J35" s="11"/>
      <c r="K35" s="11"/>
      <c r="L35" s="12"/>
    </row>
    <row r="36" ht="15" customHeight="1">
      <c r="A36" s="11" t="s">
        <v>38</v>
      </c>
      <c r="B36" s="11" t="s">
        <v>198</v>
      </c>
      <c r="C36" s="12" t="s">
        <v>199</v>
      </c>
      <c r="D36" s="12" t="s">
        <v>200</v>
      </c>
      <c r="E36" s="11"/>
      <c r="F36" s="11">
        <v>1</v>
      </c>
      <c r="G36" s="11" t="s">
        <v>15</v>
      </c>
      <c r="H36" s="13">
        <v>0</v>
      </c>
      <c r="I36" s="11"/>
      <c r="J36" s="11"/>
      <c r="K36" s="11"/>
      <c r="L36" s="12"/>
    </row>
    <row r="37" ht="15" customHeight="1">
      <c r="A37" s="11" t="s">
        <v>38</v>
      </c>
      <c r="B37" s="11" t="s">
        <v>201</v>
      </c>
      <c r="C37" s="12" t="s">
        <v>202</v>
      </c>
      <c r="D37" s="12" t="s">
        <v>203</v>
      </c>
      <c r="E37" s="11"/>
      <c r="F37" s="11">
        <v>0.5</v>
      </c>
      <c r="G37" s="11" t="s">
        <v>15</v>
      </c>
      <c r="H37" s="13">
        <v>0</v>
      </c>
      <c r="I37" s="11"/>
      <c r="J37" s="11"/>
      <c r="K37" s="11"/>
      <c r="L37" s="12"/>
    </row>
    <row r="38" ht="15" customHeight="1">
      <c r="A38" s="11" t="s">
        <v>38</v>
      </c>
      <c r="B38" s="11" t="s">
        <v>204</v>
      </c>
      <c r="C38" s="12" t="s">
        <v>205</v>
      </c>
      <c r="D38" s="12" t="s">
        <v>206</v>
      </c>
      <c r="E38" s="11"/>
      <c r="F38" s="11">
        <v>1</v>
      </c>
      <c r="G38" s="11" t="s">
        <v>15</v>
      </c>
      <c r="H38" s="13">
        <v>0</v>
      </c>
      <c r="I38" s="11"/>
      <c r="J38" s="11"/>
      <c r="K38" s="11"/>
      <c r="L38" s="12"/>
    </row>
    <row r="39" ht="15" customHeight="1">
      <c r="A39" s="11" t="s">
        <v>41</v>
      </c>
      <c r="B39" s="11" t="s">
        <v>207</v>
      </c>
      <c r="C39" s="12" t="s">
        <v>208</v>
      </c>
      <c r="D39" s="12" t="s">
        <v>209</v>
      </c>
      <c r="E39" s="11"/>
      <c r="F39" s="11">
        <v>1</v>
      </c>
      <c r="G39" s="11" t="s">
        <v>15</v>
      </c>
      <c r="H39" s="13">
        <v>0</v>
      </c>
      <c r="I39" s="11"/>
      <c r="J39" s="11"/>
      <c r="K39" s="11"/>
      <c r="L39" s="12"/>
    </row>
    <row r="40" ht="15" customHeight="1">
      <c r="A40" s="11" t="s">
        <v>41</v>
      </c>
      <c r="B40" s="11" t="s">
        <v>210</v>
      </c>
      <c r="C40" s="12" t="s">
        <v>211</v>
      </c>
      <c r="D40" s="12" t="s">
        <v>212</v>
      </c>
      <c r="E40" s="11"/>
      <c r="F40" s="11">
        <v>1</v>
      </c>
      <c r="G40" s="11" t="s">
        <v>15</v>
      </c>
      <c r="H40" s="13">
        <v>0</v>
      </c>
      <c r="I40" s="11"/>
      <c r="J40" s="11"/>
      <c r="K40" s="11"/>
      <c r="L40" s="12"/>
    </row>
    <row r="41" ht="15" customHeight="1">
      <c r="A41" s="11" t="s">
        <v>41</v>
      </c>
      <c r="B41" s="11" t="s">
        <v>213</v>
      </c>
      <c r="C41" s="12" t="s">
        <v>202</v>
      </c>
      <c r="D41" s="12" t="s">
        <v>214</v>
      </c>
      <c r="E41" s="11"/>
      <c r="F41" s="11">
        <v>0.5</v>
      </c>
      <c r="G41" s="11" t="s">
        <v>15</v>
      </c>
      <c r="H41" s="13">
        <v>0</v>
      </c>
      <c r="I41" s="11"/>
      <c r="J41" s="11"/>
      <c r="K41" s="11"/>
      <c r="L41" s="12"/>
    </row>
    <row r="42" ht="15" customHeight="1">
      <c r="A42" s="11" t="s">
        <v>41</v>
      </c>
      <c r="B42" s="11" t="s">
        <v>215</v>
      </c>
      <c r="C42" s="12" t="s">
        <v>216</v>
      </c>
      <c r="D42" s="12" t="s">
        <v>217</v>
      </c>
      <c r="E42" s="11"/>
      <c r="F42" s="11">
        <v>1</v>
      </c>
      <c r="G42" s="11" t="s">
        <v>15</v>
      </c>
      <c r="H42" s="13">
        <v>0</v>
      </c>
      <c r="I42" s="11"/>
      <c r="J42" s="11"/>
      <c r="K42" s="11"/>
      <c r="L42" s="12"/>
    </row>
    <row r="43" ht="15" customHeight="1">
      <c r="A43" s="11" t="s">
        <v>44</v>
      </c>
      <c r="B43" s="11" t="s">
        <v>218</v>
      </c>
      <c r="C43" s="12" t="s">
        <v>219</v>
      </c>
      <c r="D43" s="12" t="s">
        <v>220</v>
      </c>
      <c r="E43" s="11"/>
      <c r="F43" s="11">
        <v>1</v>
      </c>
      <c r="G43" s="11" t="s">
        <v>15</v>
      </c>
      <c r="H43" s="13">
        <v>0</v>
      </c>
      <c r="I43" s="11"/>
      <c r="J43" s="11"/>
      <c r="K43" s="11"/>
      <c r="L43" s="12"/>
    </row>
    <row r="44" ht="15" customHeight="1">
      <c r="A44" s="11" t="s">
        <v>44</v>
      </c>
      <c r="B44" s="11" t="s">
        <v>221</v>
      </c>
      <c r="C44" s="12" t="s">
        <v>222</v>
      </c>
      <c r="D44" s="12" t="s">
        <v>223</v>
      </c>
      <c r="E44" s="11"/>
      <c r="F44" s="11">
        <v>1</v>
      </c>
      <c r="G44" s="11" t="s">
        <v>15</v>
      </c>
      <c r="H44" s="13">
        <v>0</v>
      </c>
      <c r="I44" s="11"/>
      <c r="J44" s="11"/>
      <c r="K44" s="11"/>
      <c r="L44" s="12"/>
    </row>
    <row r="45" ht="15" customHeight="1">
      <c r="A45" s="11" t="s">
        <v>44</v>
      </c>
      <c r="B45" s="11" t="s">
        <v>224</v>
      </c>
      <c r="C45" s="12" t="s">
        <v>225</v>
      </c>
      <c r="D45" s="12" t="s">
        <v>226</v>
      </c>
      <c r="E45" s="11"/>
      <c r="F45" s="11">
        <v>0.5</v>
      </c>
      <c r="G45" s="11" t="s">
        <v>15</v>
      </c>
      <c r="H45" s="13">
        <v>0</v>
      </c>
      <c r="I45" s="11"/>
      <c r="J45" s="11"/>
      <c r="K45" s="11"/>
      <c r="L45" s="12"/>
    </row>
    <row r="46" ht="15" customHeight="1">
      <c r="A46" s="11" t="s">
        <v>44</v>
      </c>
      <c r="B46" s="11" t="s">
        <v>227</v>
      </c>
      <c r="C46" s="12" t="s">
        <v>228</v>
      </c>
      <c r="D46" s="12" t="s">
        <v>229</v>
      </c>
      <c r="E46" s="11"/>
      <c r="F46" s="11">
        <v>1</v>
      </c>
      <c r="G46" s="11" t="s">
        <v>15</v>
      </c>
      <c r="H46" s="13">
        <v>0</v>
      </c>
      <c r="I46" s="11"/>
      <c r="J46" s="11"/>
      <c r="K46" s="11"/>
      <c r="L46" s="12"/>
    </row>
    <row r="47" ht="15" customHeight="1">
      <c r="A47" s="11" t="s">
        <v>44</v>
      </c>
      <c r="B47" s="11" t="s">
        <v>230</v>
      </c>
      <c r="C47" s="12" t="s">
        <v>231</v>
      </c>
      <c r="D47" s="12" t="s">
        <v>232</v>
      </c>
      <c r="E47" s="11"/>
      <c r="F47" s="11">
        <v>1</v>
      </c>
      <c r="G47" s="11" t="s">
        <v>15</v>
      </c>
      <c r="H47" s="13">
        <v>0</v>
      </c>
      <c r="I47" s="11"/>
      <c r="J47" s="11"/>
      <c r="K47" s="11"/>
      <c r="L47" s="12"/>
    </row>
    <row r="48" ht="15" customHeight="1">
      <c r="A48" s="11" t="s">
        <v>47</v>
      </c>
      <c r="B48" s="11" t="s">
        <v>233</v>
      </c>
      <c r="C48" s="12" t="s">
        <v>234</v>
      </c>
      <c r="D48" s="12" t="s">
        <v>235</v>
      </c>
      <c r="E48" s="11"/>
      <c r="F48" s="11">
        <v>1</v>
      </c>
      <c r="G48" s="11" t="s">
        <v>15</v>
      </c>
      <c r="H48" s="13">
        <v>0</v>
      </c>
      <c r="I48" s="11"/>
      <c r="J48" s="11"/>
      <c r="K48" s="11"/>
      <c r="L48" s="12"/>
    </row>
    <row r="49" ht="15" customHeight="1">
      <c r="A49" s="11" t="s">
        <v>47</v>
      </c>
      <c r="B49" s="11" t="s">
        <v>236</v>
      </c>
      <c r="C49" s="12" t="s">
        <v>237</v>
      </c>
      <c r="D49" s="12" t="s">
        <v>238</v>
      </c>
      <c r="E49" s="11"/>
      <c r="F49" s="11">
        <v>1</v>
      </c>
      <c r="G49" s="11" t="s">
        <v>15</v>
      </c>
      <c r="H49" s="13">
        <v>0</v>
      </c>
      <c r="I49" s="11"/>
      <c r="J49" s="11"/>
      <c r="K49" s="11"/>
      <c r="L49" s="12"/>
    </row>
    <row r="50" ht="15" customHeight="1">
      <c r="A50" s="11" t="s">
        <v>47</v>
      </c>
      <c r="B50" s="11" t="s">
        <v>239</v>
      </c>
      <c r="C50" s="12" t="s">
        <v>240</v>
      </c>
      <c r="D50" s="12" t="s">
        <v>241</v>
      </c>
      <c r="E50" s="11"/>
      <c r="F50" s="11">
        <v>1</v>
      </c>
      <c r="G50" s="11" t="s">
        <v>15</v>
      </c>
      <c r="H50" s="13">
        <v>0</v>
      </c>
      <c r="I50" s="11"/>
      <c r="J50" s="11"/>
      <c r="K50" s="11"/>
      <c r="L50" s="12"/>
    </row>
    <row r="51" ht="15" customHeight="1">
      <c r="A51" s="11" t="s">
        <v>242</v>
      </c>
      <c r="B51" s="11" t="s">
        <v>243</v>
      </c>
      <c r="C51" s="12" t="s">
        <v>244</v>
      </c>
      <c r="D51" s="12" t="s">
        <v>245</v>
      </c>
      <c r="E51" s="11"/>
      <c r="F51" s="11">
        <v>1.5</v>
      </c>
      <c r="G51" s="11" t="s">
        <v>15</v>
      </c>
      <c r="H51" s="13">
        <v>0</v>
      </c>
      <c r="I51" s="11"/>
      <c r="J51" s="11"/>
      <c r="K51" s="11"/>
      <c r="L51" s="12"/>
    </row>
    <row r="52" ht="15" customHeight="1">
      <c r="A52" s="11" t="s">
        <v>242</v>
      </c>
      <c r="B52" s="11" t="s">
        <v>246</v>
      </c>
      <c r="C52" s="12" t="s">
        <v>247</v>
      </c>
      <c r="D52" s="12" t="s">
        <v>248</v>
      </c>
      <c r="E52" s="11"/>
      <c r="F52" s="11">
        <v>0.5</v>
      </c>
      <c r="G52" s="11" t="s">
        <v>15</v>
      </c>
      <c r="H52" s="13">
        <v>0</v>
      </c>
      <c r="I52" s="11"/>
      <c r="J52" s="11"/>
      <c r="K52" s="11"/>
      <c r="L52" s="12"/>
    </row>
    <row r="53" ht="15" customHeight="1">
      <c r="A53" s="11" t="s">
        <v>242</v>
      </c>
      <c r="B53" s="11" t="s">
        <v>249</v>
      </c>
      <c r="C53" s="12" t="s">
        <v>250</v>
      </c>
      <c r="D53" s="12" t="s">
        <v>251</v>
      </c>
      <c r="E53" s="11"/>
      <c r="F53" s="11">
        <v>0.5</v>
      </c>
      <c r="G53" s="11" t="s">
        <v>15</v>
      </c>
      <c r="H53" s="13">
        <v>0</v>
      </c>
      <c r="I53" s="11"/>
      <c r="J53" s="11"/>
      <c r="K53" s="11"/>
      <c r="L53" s="12"/>
    </row>
    <row r="54" ht="15" customHeight="1">
      <c r="A54" s="11" t="s">
        <v>252</v>
      </c>
      <c r="B54" s="11" t="s">
        <v>253</v>
      </c>
      <c r="C54" s="12" t="s">
        <v>254</v>
      </c>
      <c r="D54" s="12" t="s">
        <v>255</v>
      </c>
      <c r="E54" s="11"/>
      <c r="F54" s="11">
        <v>1</v>
      </c>
      <c r="G54" s="11" t="s">
        <v>15</v>
      </c>
      <c r="H54" s="13">
        <v>0</v>
      </c>
      <c r="I54" s="11"/>
      <c r="J54" s="11"/>
      <c r="K54" s="11"/>
      <c r="L54" s="12"/>
    </row>
    <row r="55" ht="15" customHeight="1">
      <c r="A55" s="11" t="s">
        <v>252</v>
      </c>
      <c r="B55" s="11" t="s">
        <v>256</v>
      </c>
      <c r="C55" s="12" t="s">
        <v>257</v>
      </c>
      <c r="D55" s="12" t="s">
        <v>258</v>
      </c>
      <c r="E55" s="11"/>
      <c r="F55" s="11">
        <v>2</v>
      </c>
      <c r="G55" s="11" t="s">
        <v>15</v>
      </c>
      <c r="H55" s="13">
        <v>0</v>
      </c>
      <c r="I55" s="11"/>
      <c r="J55" s="11"/>
      <c r="K55" s="11"/>
      <c r="L55" s="12"/>
    </row>
    <row r="56" ht="15" customHeight="1">
      <c r="A56" s="11" t="s">
        <v>252</v>
      </c>
      <c r="B56" s="11" t="s">
        <v>259</v>
      </c>
      <c r="C56" s="12" t="s">
        <v>260</v>
      </c>
      <c r="D56" s="12" t="s">
        <v>261</v>
      </c>
      <c r="E56" s="11"/>
      <c r="F56" s="11">
        <v>2</v>
      </c>
      <c r="G56" s="11" t="s">
        <v>15</v>
      </c>
      <c r="H56" s="13">
        <v>0</v>
      </c>
      <c r="I56" s="11"/>
      <c r="J56" s="11"/>
      <c r="K56" s="11"/>
      <c r="L56" s="12"/>
    </row>
    <row r="57" ht="15" customHeight="1">
      <c r="A57" s="11" t="s">
        <v>252</v>
      </c>
      <c r="B57" s="11" t="s">
        <v>262</v>
      </c>
      <c r="C57" s="12" t="s">
        <v>263</v>
      </c>
      <c r="D57" s="12" t="s">
        <v>264</v>
      </c>
      <c r="E57" s="11"/>
      <c r="F57" s="11">
        <v>1</v>
      </c>
      <c r="G57" s="11" t="s">
        <v>15</v>
      </c>
      <c r="H57" s="13">
        <v>0</v>
      </c>
      <c r="I57" s="11"/>
      <c r="J57" s="11"/>
      <c r="K57" s="11"/>
      <c r="L57" s="12"/>
    </row>
    <row r="58" ht="15" customHeight="1">
      <c r="A58" s="11" t="s">
        <v>252</v>
      </c>
      <c r="B58" s="11" t="s">
        <v>265</v>
      </c>
      <c r="C58" s="12" t="s">
        <v>266</v>
      </c>
      <c r="D58" s="12" t="s">
        <v>267</v>
      </c>
      <c r="E58" s="11"/>
      <c r="F58" s="11">
        <v>1</v>
      </c>
      <c r="G58" s="11" t="s">
        <v>15</v>
      </c>
      <c r="H58" s="13">
        <v>0</v>
      </c>
      <c r="I58" s="11"/>
      <c r="J58" s="11"/>
      <c r="K58" s="11"/>
      <c r="L58" s="12"/>
    </row>
    <row r="59" ht="15" customHeight="1">
      <c r="A59" s="11" t="s">
        <v>252</v>
      </c>
      <c r="B59" s="11" t="s">
        <v>268</v>
      </c>
      <c r="C59" s="12" t="s">
        <v>269</v>
      </c>
      <c r="D59" s="12" t="s">
        <v>270</v>
      </c>
      <c r="E59" s="11"/>
      <c r="F59" s="11">
        <v>0.5</v>
      </c>
      <c r="G59" s="11" t="s">
        <v>15</v>
      </c>
      <c r="H59" s="13">
        <v>0</v>
      </c>
      <c r="I59" s="11"/>
      <c r="J59" s="11"/>
      <c r="K59" s="11"/>
      <c r="L59" s="12"/>
    </row>
    <row r="60" ht="15" customHeight="1">
      <c r="A60" s="11" t="s">
        <v>252</v>
      </c>
      <c r="B60" s="11" t="s">
        <v>271</v>
      </c>
      <c r="C60" s="12" t="s">
        <v>272</v>
      </c>
      <c r="D60" s="12" t="s">
        <v>273</v>
      </c>
      <c r="E60" s="11"/>
      <c r="F60" s="11">
        <v>1</v>
      </c>
      <c r="G60" s="11" t="s">
        <v>15</v>
      </c>
      <c r="H60" s="13">
        <v>0</v>
      </c>
      <c r="I60" s="11"/>
      <c r="J60" s="11"/>
      <c r="K60" s="11"/>
      <c r="L60" s="12"/>
    </row>
    <row r="61" ht="15" customHeight="1">
      <c r="A61" s="11" t="s">
        <v>252</v>
      </c>
      <c r="B61" s="11" t="s">
        <v>274</v>
      </c>
      <c r="C61" s="12" t="s">
        <v>275</v>
      </c>
      <c r="D61" s="12" t="s">
        <v>276</v>
      </c>
      <c r="E61" s="11"/>
      <c r="F61" s="11">
        <v>1</v>
      </c>
      <c r="G61" s="11" t="s">
        <v>15</v>
      </c>
      <c r="H61" s="13">
        <v>0</v>
      </c>
      <c r="I61" s="11"/>
      <c r="J61" s="11"/>
      <c r="K61" s="11"/>
      <c r="L61" s="12"/>
    </row>
    <row r="62" ht="15" customHeight="1">
      <c r="A62" s="11" t="s">
        <v>252</v>
      </c>
      <c r="B62" s="11" t="s">
        <v>277</v>
      </c>
      <c r="C62" s="12" t="s">
        <v>278</v>
      </c>
      <c r="D62" s="12" t="s">
        <v>279</v>
      </c>
      <c r="E62" s="11"/>
      <c r="F62" s="11">
        <v>0</v>
      </c>
      <c r="G62" s="11" t="s">
        <v>15</v>
      </c>
      <c r="H62" s="13">
        <v>0</v>
      </c>
      <c r="I62" s="11"/>
      <c r="J62" s="11"/>
      <c r="K62" s="11"/>
      <c r="L62" s="12"/>
    </row>
    <row r="63" ht="15" customHeight="1">
      <c r="A63" s="11" t="s">
        <v>280</v>
      </c>
      <c r="B63" s="11" t="s">
        <v>281</v>
      </c>
      <c r="C63" s="12" t="s">
        <v>282</v>
      </c>
      <c r="D63" s="12" t="s">
        <v>283</v>
      </c>
      <c r="E63" s="11"/>
      <c r="F63" s="11">
        <v>0</v>
      </c>
      <c r="G63" s="11" t="s">
        <v>15</v>
      </c>
      <c r="H63" s="13">
        <v>0</v>
      </c>
      <c r="I63" s="11"/>
      <c r="J63" s="11"/>
      <c r="K63" s="11"/>
      <c r="L63" s="12"/>
    </row>
    <row r="64" ht="15" customHeight="1">
      <c r="A64" s="11" t="s">
        <v>280</v>
      </c>
      <c r="B64" s="11" t="s">
        <v>284</v>
      </c>
      <c r="C64" s="12" t="s">
        <v>285</v>
      </c>
      <c r="D64" s="12" t="s">
        <v>286</v>
      </c>
      <c r="E64" s="11"/>
      <c r="F64" s="11">
        <v>0</v>
      </c>
      <c r="G64" s="11" t="s">
        <v>15</v>
      </c>
      <c r="H64" s="13">
        <v>0</v>
      </c>
      <c r="I64" s="11"/>
      <c r="J64" s="11"/>
      <c r="K64" s="11"/>
      <c r="L64" s="12"/>
    </row>
    <row r="65" ht="15" customHeight="1">
      <c r="A65" s="11" t="s">
        <v>280</v>
      </c>
      <c r="B65" s="11" t="s">
        <v>287</v>
      </c>
      <c r="C65" s="12" t="s">
        <v>288</v>
      </c>
      <c r="D65" s="12" t="s">
        <v>289</v>
      </c>
      <c r="E65" s="11"/>
      <c r="F65" s="11">
        <v>0</v>
      </c>
      <c r="G65" s="11" t="s">
        <v>15</v>
      </c>
      <c r="H65" s="13">
        <v>0</v>
      </c>
      <c r="I65" s="11"/>
      <c r="J65" s="11"/>
      <c r="K65" s="11"/>
      <c r="L65" s="12"/>
    </row>
    <row r="66" ht="15" customHeight="1">
      <c r="A66" s="11" t="s">
        <v>280</v>
      </c>
      <c r="B66" s="11" t="s">
        <v>290</v>
      </c>
      <c r="C66" s="12" t="s">
        <v>291</v>
      </c>
      <c r="D66" s="12" t="s">
        <v>292</v>
      </c>
      <c r="E66" s="11"/>
      <c r="F66" s="11">
        <v>0</v>
      </c>
      <c r="G66" s="11" t="s">
        <v>15</v>
      </c>
      <c r="H66" s="13">
        <v>0</v>
      </c>
      <c r="I66" s="11"/>
      <c r="J66" s="11"/>
      <c r="K66" s="11"/>
      <c r="L66" s="12"/>
    </row>
    <row r="67" ht="15" customHeight="1">
      <c r="A67" s="11" t="s">
        <v>280</v>
      </c>
      <c r="B67" s="11" t="s">
        <v>293</v>
      </c>
      <c r="C67" s="12" t="s">
        <v>294</v>
      </c>
      <c r="D67" s="12" t="s">
        <v>295</v>
      </c>
      <c r="E67" s="11"/>
      <c r="F67" s="11">
        <v>0</v>
      </c>
      <c r="G67" s="11" t="s">
        <v>15</v>
      </c>
      <c r="H67" s="13">
        <v>0</v>
      </c>
      <c r="I67" s="11"/>
      <c r="J67" s="11"/>
      <c r="K67" s="11"/>
      <c r="L67" s="12"/>
    </row>
    <row r="68" ht="15" customHeight="1">
      <c r="A68" s="11" t="s">
        <v>280</v>
      </c>
      <c r="B68" s="11" t="s">
        <v>296</v>
      </c>
      <c r="C68" s="12" t="s">
        <v>297</v>
      </c>
      <c r="D68" s="12" t="s">
        <v>298</v>
      </c>
      <c r="E68" s="11"/>
      <c r="F68" s="11">
        <v>0</v>
      </c>
      <c r="G68" s="11" t="s">
        <v>15</v>
      </c>
      <c r="H68" s="13">
        <v>0</v>
      </c>
      <c r="I68" s="11"/>
      <c r="J68" s="11"/>
      <c r="K68" s="11"/>
      <c r="L68" s="12"/>
    </row>
    <row r="69" ht="15" customHeight="1">
      <c r="A69" s="11" t="s">
        <v>280</v>
      </c>
      <c r="B69" s="11" t="s">
        <v>299</v>
      </c>
      <c r="C69" s="12" t="s">
        <v>300</v>
      </c>
      <c r="D69" s="12" t="s">
        <v>301</v>
      </c>
      <c r="E69" s="11"/>
      <c r="F69" s="11">
        <v>0</v>
      </c>
      <c r="G69" s="11" t="s">
        <v>15</v>
      </c>
      <c r="H69" s="13">
        <v>0</v>
      </c>
      <c r="I69" s="11"/>
      <c r="J69" s="11"/>
      <c r="K69" s="11"/>
      <c r="L69" s="12"/>
    </row>
  </sheetData>
  <autoFilter ref="A4:L69"/>
  <conditionalFormatting sqref="G5:G69">
    <cfRule type="cellIs" dxfId="0" priority="1" operator="equal" text="null">
      <formula>"Done"</formula>
    </cfRule>
  </conditionalFormatting>
  <conditionalFormatting sqref="G5:G69">
    <cfRule type="cellIs" dxfId="1" priority="2" operator="equal" text="null">
      <formula>"In Progress"</formula>
    </cfRule>
  </conditionalFormatting>
  <conditionalFormatting sqref="G5:G69">
    <cfRule type="cellIs" dxfId="2" priority="3" operator="equal" text="null">
      <formula>"In Review"</formula>
    </cfRule>
  </conditionalFormatting>
  <conditionalFormatting sqref="G5:G69">
    <cfRule type="cellIs" dxfId="3" priority="4" operator="equal" text="null">
      <formula>"Blocked"</formula>
    </cfRule>
  </conditionalFormatting>
  <conditionalFormatting sqref="G5:G69">
    <cfRule type="cellIs" dxfId="4" priority="5" operator="equal" text="null">
      <formula>"Not Started"</formula>
    </cfRule>
  </conditionalFormatting>
  <dataValidations count="1">
    <dataValidation allowBlank="1" sqref="G5:G69" type="list">
      <formula1>"Not Started,In Progress,In Review,Blocked,Done"</formula1>
    </dataValidation>
  </dataValidation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764E9B5-29EE-4F9E-B6EC-FFAC41B1D937}" mc:Ignorable="x14ac xr xr2 xr3">
  <dimension ref="A1:D31"/>
  <sheetViews>
    <sheetView topLeftCell="A1" workbookViewId="0">
      <pane ySplit="4" topLeftCell="A5" activePane="bottomLeft" state="frozen"/>
      <selection pane="bottomLeft" activeCell="A1" sqref="A1"/>
    </sheetView>
  </sheetViews>
  <sheetFormatPr defaultRowHeight="15" defaultColWidth="9.140625" customHeight="1"/>
  <cols>
    <col min="1" max="1" width="22.00390625" customWidth="1"/>
    <col min="2" max="2" width="64.00390625" customWidth="1"/>
    <col min="3" max="3" width="12.00390625" customWidth="1"/>
    <col min="4" max="4" width="34.00390625" customWidth="1"/>
  </cols>
  <sheetData>
    <row r="1" ht="15" customHeight="1">
      <c r="A1" s="1" t="s">
        <v>302</v>
      </c>
    </row>
    <row r="2" ht="15" customHeight="1">
      <c r="A2" s="2" t="s">
        <v>303</v>
      </c>
    </row>
    <row r="4" ht="15" customHeight="1">
      <c r="A4" s="10" t="s">
        <v>304</v>
      </c>
      <c r="B4" s="10" t="s">
        <v>305</v>
      </c>
      <c r="C4" s="10" t="s">
        <v>306</v>
      </c>
      <c r="D4" s="10" t="s">
        <v>307</v>
      </c>
    </row>
    <row r="5" ht="15" customHeight="1">
      <c r="A5" s="14" t="s">
        <v>308</v>
      </c>
      <c r="B5" s="14"/>
      <c r="C5" s="14"/>
      <c r="D5" s="14"/>
    </row>
    <row r="6" ht="15" customHeight="1">
      <c r="A6" s="11"/>
      <c r="B6" s="12" t="s">
        <v>309</v>
      </c>
      <c r="C6" s="11"/>
      <c r="D6" s="12"/>
    </row>
    <row r="7" ht="15" customHeight="1">
      <c r="A7" s="11"/>
      <c r="B7" s="12" t="s">
        <v>310</v>
      </c>
      <c r="C7" s="11"/>
      <c r="D7" s="12"/>
    </row>
    <row r="8" ht="15" customHeight="1">
      <c r="A8" s="11"/>
      <c r="B8" s="12" t="s">
        <v>311</v>
      </c>
      <c r="C8" s="11"/>
      <c r="D8" s="12"/>
    </row>
    <row r="9" ht="15" customHeight="1">
      <c r="A9" s="11"/>
      <c r="B9" s="12" t="s">
        <v>312</v>
      </c>
      <c r="C9" s="11"/>
      <c r="D9" s="12"/>
    </row>
    <row r="10" ht="15" customHeight="1">
      <c r="A10" s="11"/>
      <c r="B10" s="12" t="s">
        <v>313</v>
      </c>
      <c r="C10" s="11"/>
      <c r="D10" s="12"/>
    </row>
    <row r="11" ht="15" customHeight="1">
      <c r="A11" s="11"/>
      <c r="B11" s="12" t="s">
        <v>314</v>
      </c>
      <c r="C11" s="11"/>
      <c r="D11" s="12"/>
    </row>
    <row r="12" ht="15" customHeight="1">
      <c r="A12" s="11"/>
      <c r="B12" s="12" t="s">
        <v>315</v>
      </c>
      <c r="C12" s="11"/>
      <c r="D12" s="12"/>
    </row>
    <row r="13" ht="15" customHeight="1">
      <c r="A13" s="11"/>
      <c r="B13" s="12" t="s">
        <v>316</v>
      </c>
      <c r="C13" s="11"/>
      <c r="D13" s="12"/>
    </row>
    <row r="14" ht="15" customHeight="1">
      <c r="A14" s="11"/>
      <c r="B14" s="12" t="s">
        <v>317</v>
      </c>
      <c r="C14" s="11"/>
      <c r="D14" s="12"/>
    </row>
    <row r="15" ht="15" customHeight="1">
      <c r="A15" s="14" t="s">
        <v>32</v>
      </c>
      <c r="B15" s="14"/>
      <c r="C15" s="14"/>
      <c r="D15" s="14"/>
    </row>
    <row r="16" ht="15" customHeight="1">
      <c r="A16" s="11"/>
      <c r="B16" s="12" t="s">
        <v>318</v>
      </c>
      <c r="C16" s="11"/>
      <c r="D16" s="12"/>
    </row>
    <row r="17" ht="15" customHeight="1">
      <c r="A17" s="11"/>
      <c r="B17" s="12" t="s">
        <v>319</v>
      </c>
      <c r="C17" s="11"/>
      <c r="D17" s="12"/>
    </row>
    <row r="18" ht="15" customHeight="1">
      <c r="A18" s="11"/>
      <c r="B18" s="12" t="s">
        <v>320</v>
      </c>
      <c r="C18" s="11"/>
      <c r="D18" s="12"/>
    </row>
    <row r="19" ht="15" customHeight="1">
      <c r="A19" s="14" t="s">
        <v>35</v>
      </c>
      <c r="B19" s="14"/>
      <c r="C19" s="14"/>
      <c r="D19" s="14"/>
    </row>
    <row r="20" ht="15" customHeight="1">
      <c r="A20" s="11"/>
      <c r="B20" s="12" t="s">
        <v>321</v>
      </c>
      <c r="C20" s="11"/>
      <c r="D20" s="12"/>
    </row>
    <row r="21" ht="15" customHeight="1">
      <c r="A21" s="11"/>
      <c r="B21" s="12" t="s">
        <v>322</v>
      </c>
      <c r="C21" s="11"/>
      <c r="D21" s="12"/>
    </row>
    <row r="22" ht="15" customHeight="1">
      <c r="A22" s="14" t="s">
        <v>38</v>
      </c>
      <c r="B22" s="14"/>
      <c r="C22" s="14"/>
      <c r="D22" s="14"/>
    </row>
    <row r="23" ht="15" customHeight="1">
      <c r="A23" s="11"/>
      <c r="B23" s="12" t="s">
        <v>323</v>
      </c>
      <c r="C23" s="11"/>
      <c r="D23" s="12"/>
    </row>
    <row r="24" ht="15" customHeight="1">
      <c r="A24" s="14" t="s">
        <v>41</v>
      </c>
      <c r="B24" s="14"/>
      <c r="C24" s="14"/>
      <c r="D24" s="14"/>
    </row>
    <row r="25" ht="15" customHeight="1">
      <c r="A25" s="11"/>
      <c r="B25" s="12" t="s">
        <v>324</v>
      </c>
      <c r="C25" s="11"/>
      <c r="D25" s="12"/>
    </row>
    <row r="26" ht="15" customHeight="1">
      <c r="A26" s="14" t="s">
        <v>44</v>
      </c>
      <c r="B26" s="14"/>
      <c r="C26" s="14"/>
      <c r="D26" s="14"/>
    </row>
    <row r="27" ht="15" customHeight="1">
      <c r="A27" s="11"/>
      <c r="B27" s="12" t="s">
        <v>325</v>
      </c>
      <c r="C27" s="11"/>
      <c r="D27" s="12"/>
    </row>
    <row r="28" ht="15" customHeight="1">
      <c r="A28" s="11"/>
      <c r="B28" s="12" t="s">
        <v>326</v>
      </c>
      <c r="C28" s="11"/>
      <c r="D28" s="12"/>
    </row>
    <row r="29" ht="15" customHeight="1">
      <c r="A29" s="14" t="s">
        <v>47</v>
      </c>
      <c r="B29" s="14"/>
      <c r="C29" s="14"/>
      <c r="D29" s="14"/>
    </row>
    <row r="30" ht="15" customHeight="1">
      <c r="A30" s="11"/>
      <c r="B30" s="12" t="s">
        <v>327</v>
      </c>
      <c r="C30" s="11"/>
      <c r="D30" s="12"/>
    </row>
  </sheetData>
  <dataValidations count="1">
    <dataValidation allowBlank="1" sqref="C5:C31" type="list">
      <formula1>"Y,N"</formula1>
    </dataValidation>
  </dataValidation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126CE4-E2B8-48FC-BA7B-0CE8AC83DCE9}" mc:Ignorable="x14ac xr xr2 xr3">
  <dimension ref="A1:I34"/>
  <sheetViews>
    <sheetView topLeftCell="A1" workbookViewId="0">
      <pane ySplit="4" topLeftCell="A5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12.00390625" customWidth="1"/>
    <col min="3" max="3" width="20.00390625" customWidth="1"/>
    <col min="4" max="4" width="40.00390625" customWidth="1"/>
    <col min="5" max="5" width="10.00390625" customWidth="1"/>
    <col min="6" max="8" width="28.00390625" customWidth="1"/>
    <col min="9" max="9" width="14.00390625" customWidth="1"/>
  </cols>
  <sheetData>
    <row r="1" ht="15" customHeight="1">
      <c r="A1" s="1" t="s">
        <v>328</v>
      </c>
    </row>
    <row r="2" ht="15" customHeight="1">
      <c r="A2" s="2" t="s">
        <v>329</v>
      </c>
    </row>
    <row r="4" ht="15" customHeight="1">
      <c r="A4" s="10" t="s">
        <v>330</v>
      </c>
      <c r="B4" s="10" t="s">
        <v>331</v>
      </c>
      <c r="C4" s="10" t="s">
        <v>332</v>
      </c>
      <c r="D4" s="10" t="s">
        <v>333</v>
      </c>
      <c r="E4" s="10" t="s">
        <v>334</v>
      </c>
      <c r="F4" s="10" t="s">
        <v>335</v>
      </c>
      <c r="G4" s="10" t="s">
        <v>336</v>
      </c>
      <c r="H4" s="10" t="s">
        <v>337</v>
      </c>
      <c r="I4" s="10" t="s">
        <v>338</v>
      </c>
    </row>
    <row r="5" ht="15" customHeight="1">
      <c r="A5" s="15"/>
      <c r="B5" s="15"/>
      <c r="C5" s="15"/>
      <c r="D5" s="15"/>
      <c r="E5" s="16"/>
      <c r="F5" s="15"/>
      <c r="G5" s="15"/>
      <c r="H5" s="15"/>
      <c r="I5" s="15"/>
    </row>
    <row r="6" ht="15" customHeight="1">
      <c r="A6" s="15"/>
      <c r="B6" s="15"/>
      <c r="C6" s="15"/>
      <c r="D6" s="15"/>
      <c r="E6" s="16"/>
      <c r="F6" s="15"/>
      <c r="G6" s="15"/>
      <c r="H6" s="15"/>
      <c r="I6" s="15"/>
    </row>
    <row r="7" ht="15" customHeight="1">
      <c r="A7" s="15"/>
      <c r="B7" s="15"/>
      <c r="C7" s="15"/>
      <c r="D7" s="15"/>
      <c r="E7" s="16"/>
      <c r="F7" s="15"/>
      <c r="G7" s="15"/>
      <c r="H7" s="15"/>
      <c r="I7" s="15"/>
    </row>
    <row r="8" ht="15" customHeight="1">
      <c r="A8" s="15"/>
      <c r="B8" s="15"/>
      <c r="C8" s="15"/>
      <c r="D8" s="15"/>
      <c r="E8" s="16"/>
      <c r="F8" s="15"/>
      <c r="G8" s="15"/>
      <c r="H8" s="15"/>
      <c r="I8" s="15"/>
    </row>
    <row r="9" ht="15" customHeight="1">
      <c r="A9" s="15"/>
      <c r="B9" s="15"/>
      <c r="C9" s="15"/>
      <c r="D9" s="15"/>
      <c r="E9" s="16"/>
      <c r="F9" s="15"/>
      <c r="G9" s="15"/>
      <c r="H9" s="15"/>
      <c r="I9" s="15"/>
    </row>
    <row r="10" ht="15" customHeight="1">
      <c r="A10" s="15"/>
      <c r="B10" s="15"/>
      <c r="C10" s="15"/>
      <c r="D10" s="15"/>
      <c r="E10" s="16"/>
      <c r="F10" s="15"/>
      <c r="G10" s="15"/>
      <c r="H10" s="15"/>
      <c r="I10" s="15"/>
    </row>
    <row r="11" ht="15" customHeight="1">
      <c r="A11" s="15"/>
      <c r="B11" s="15"/>
      <c r="C11" s="15"/>
      <c r="D11" s="15"/>
      <c r="E11" s="16"/>
      <c r="F11" s="15"/>
      <c r="G11" s="15"/>
      <c r="H11" s="15"/>
      <c r="I11" s="15"/>
    </row>
    <row r="12" ht="15" customHeight="1">
      <c r="A12" s="15"/>
      <c r="B12" s="15"/>
      <c r="C12" s="15"/>
      <c r="D12" s="15"/>
      <c r="E12" s="16"/>
      <c r="F12" s="15"/>
      <c r="G12" s="15"/>
      <c r="H12" s="15"/>
      <c r="I12" s="15"/>
    </row>
    <row r="13" ht="15" customHeight="1">
      <c r="A13" s="15"/>
      <c r="B13" s="15"/>
      <c r="C13" s="15"/>
      <c r="D13" s="15"/>
      <c r="E13" s="16"/>
      <c r="F13" s="15"/>
      <c r="G13" s="15"/>
      <c r="H13" s="15"/>
      <c r="I13" s="15"/>
    </row>
    <row r="14" ht="15" customHeight="1">
      <c r="A14" s="15"/>
      <c r="B14" s="15"/>
      <c r="C14" s="15"/>
      <c r="D14" s="15"/>
      <c r="E14" s="16"/>
      <c r="F14" s="15"/>
      <c r="G14" s="15"/>
      <c r="H14" s="15"/>
      <c r="I14" s="15"/>
    </row>
    <row r="15" ht="15" customHeight="1">
      <c r="A15" s="15"/>
      <c r="B15" s="15"/>
      <c r="C15" s="15"/>
      <c r="D15" s="15"/>
      <c r="E15" s="16"/>
      <c r="F15" s="15"/>
      <c r="G15" s="15"/>
      <c r="H15" s="15"/>
      <c r="I15" s="15"/>
    </row>
    <row r="16" ht="15" customHeight="1">
      <c r="A16" s="15"/>
      <c r="B16" s="15"/>
      <c r="C16" s="15"/>
      <c r="D16" s="15"/>
      <c r="E16" s="16"/>
      <c r="F16" s="15"/>
      <c r="G16" s="15"/>
      <c r="H16" s="15"/>
      <c r="I16" s="15"/>
    </row>
    <row r="17" ht="15" customHeight="1">
      <c r="A17" s="15"/>
      <c r="B17" s="15"/>
      <c r="C17" s="15"/>
      <c r="D17" s="15"/>
      <c r="E17" s="16"/>
      <c r="F17" s="15"/>
      <c r="G17" s="15"/>
      <c r="H17" s="15"/>
      <c r="I17" s="15"/>
    </row>
    <row r="18" ht="15" customHeight="1">
      <c r="A18" s="15"/>
      <c r="B18" s="15"/>
      <c r="C18" s="15"/>
      <c r="D18" s="15"/>
      <c r="E18" s="16"/>
      <c r="F18" s="15"/>
      <c r="G18" s="15"/>
      <c r="H18" s="15"/>
      <c r="I18" s="15"/>
    </row>
    <row r="19" ht="15" customHeight="1">
      <c r="A19" s="15"/>
      <c r="B19" s="15"/>
      <c r="C19" s="15"/>
      <c r="D19" s="15"/>
      <c r="E19" s="16"/>
      <c r="F19" s="15"/>
      <c r="G19" s="15"/>
      <c r="H19" s="15"/>
      <c r="I19" s="15"/>
    </row>
    <row r="20" ht="15" customHeight="1">
      <c r="A20" s="15"/>
      <c r="B20" s="15"/>
      <c r="C20" s="15"/>
      <c r="D20" s="15"/>
      <c r="E20" s="16"/>
      <c r="F20" s="15"/>
      <c r="G20" s="15"/>
      <c r="H20" s="15"/>
      <c r="I20" s="15"/>
    </row>
    <row r="21" ht="15" customHeight="1">
      <c r="A21" s="15"/>
      <c r="B21" s="15"/>
      <c r="C21" s="15"/>
      <c r="D21" s="15"/>
      <c r="E21" s="16"/>
      <c r="F21" s="15"/>
      <c r="G21" s="15"/>
      <c r="H21" s="15"/>
      <c r="I21" s="15"/>
    </row>
    <row r="22" ht="15" customHeight="1">
      <c r="A22" s="15"/>
      <c r="B22" s="15"/>
      <c r="C22" s="15"/>
      <c r="D22" s="15"/>
      <c r="E22" s="16"/>
      <c r="F22" s="15"/>
      <c r="G22" s="15"/>
      <c r="H22" s="15"/>
      <c r="I22" s="15"/>
    </row>
    <row r="23" ht="15" customHeight="1">
      <c r="A23" s="15"/>
      <c r="B23" s="15"/>
      <c r="C23" s="15"/>
      <c r="D23" s="15"/>
      <c r="E23" s="16"/>
      <c r="F23" s="15"/>
      <c r="G23" s="15"/>
      <c r="H23" s="15"/>
      <c r="I23" s="15"/>
    </row>
    <row r="24" ht="15" customHeight="1">
      <c r="A24" s="15"/>
      <c r="B24" s="15"/>
      <c r="C24" s="15"/>
      <c r="D24" s="15"/>
      <c r="E24" s="16"/>
      <c r="F24" s="15"/>
      <c r="G24" s="15"/>
      <c r="H24" s="15"/>
      <c r="I24" s="15"/>
    </row>
    <row r="25" ht="15" customHeight="1">
      <c r="A25" s="15"/>
      <c r="B25" s="15"/>
      <c r="C25" s="15"/>
      <c r="D25" s="15"/>
      <c r="E25" s="16"/>
      <c r="F25" s="15"/>
      <c r="G25" s="15"/>
      <c r="H25" s="15"/>
      <c r="I25" s="15"/>
    </row>
    <row r="26" ht="15" customHeight="1">
      <c r="A26" s="15"/>
      <c r="B26" s="15"/>
      <c r="C26" s="15"/>
      <c r="D26" s="15"/>
      <c r="E26" s="16"/>
      <c r="F26" s="15"/>
      <c r="G26" s="15"/>
      <c r="H26" s="15"/>
      <c r="I26" s="15"/>
    </row>
    <row r="27" ht="15" customHeight="1">
      <c r="A27" s="15"/>
      <c r="B27" s="15"/>
      <c r="C27" s="15"/>
      <c r="D27" s="15"/>
      <c r="E27" s="16"/>
      <c r="F27" s="15"/>
      <c r="G27" s="15"/>
      <c r="H27" s="15"/>
      <c r="I27" s="15"/>
    </row>
    <row r="28" ht="15" customHeight="1">
      <c r="A28" s="15"/>
      <c r="B28" s="15"/>
      <c r="C28" s="15"/>
      <c r="D28" s="15"/>
      <c r="E28" s="16"/>
      <c r="F28" s="15"/>
      <c r="G28" s="15"/>
      <c r="H28" s="15"/>
      <c r="I28" s="15"/>
    </row>
    <row r="29" ht="15" customHeight="1">
      <c r="A29" s="15"/>
      <c r="B29" s="15"/>
      <c r="C29" s="15"/>
      <c r="D29" s="15"/>
      <c r="E29" s="16"/>
      <c r="F29" s="15"/>
      <c r="G29" s="15"/>
      <c r="H29" s="15"/>
      <c r="I29" s="15"/>
    </row>
    <row r="30" ht="15" customHeight="1">
      <c r="A30" s="15"/>
      <c r="B30" s="15"/>
      <c r="C30" s="15"/>
      <c r="D30" s="15"/>
      <c r="E30" s="16"/>
      <c r="F30" s="15"/>
      <c r="G30" s="15"/>
      <c r="H30" s="15"/>
      <c r="I30" s="15"/>
    </row>
    <row r="31" ht="15" customHeight="1">
      <c r="A31" s="15"/>
      <c r="B31" s="15"/>
      <c r="C31" s="15"/>
      <c r="D31" s="15"/>
      <c r="E31" s="16"/>
      <c r="F31" s="15"/>
      <c r="G31" s="15"/>
      <c r="H31" s="15"/>
      <c r="I31" s="15"/>
    </row>
    <row r="32" ht="15" customHeight="1">
      <c r="A32" s="15"/>
      <c r="B32" s="15"/>
      <c r="C32" s="15"/>
      <c r="D32" s="15"/>
      <c r="E32" s="16"/>
      <c r="F32" s="15"/>
      <c r="G32" s="15"/>
      <c r="H32" s="15"/>
      <c r="I32" s="15"/>
    </row>
    <row r="33" ht="15" customHeight="1">
      <c r="A33" s="15"/>
      <c r="B33" s="15"/>
      <c r="C33" s="15"/>
      <c r="D33" s="15"/>
      <c r="E33" s="16"/>
      <c r="F33" s="15"/>
      <c r="G33" s="15"/>
      <c r="H33" s="15"/>
      <c r="I33" s="15"/>
    </row>
    <row r="34" ht="15" customHeight="1">
      <c r="A34" s="15"/>
      <c r="B34" s="15"/>
      <c r="C34" s="15"/>
      <c r="D34" s="15"/>
      <c r="E34" s="16"/>
      <c r="F34" s="15"/>
      <c r="G34" s="15"/>
      <c r="H34" s="15"/>
      <c r="I34" s="15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A7C053-9F79-43D1-B40D-0B11FD0CF5E9}" mc:Ignorable="x14ac xr xr2 xr3">
  <dimension ref="A1:J40"/>
  <sheetViews>
    <sheetView topLeftCell="A1" workbookViewId="0">
      <pane ySplit="4" topLeftCell="A5" activePane="bottomLeft" state="frozen"/>
      <selection pane="bottomLeft" activeCell="A1" sqref="A1"/>
    </sheetView>
  </sheetViews>
  <sheetFormatPr defaultRowHeight="15" defaultColWidth="9.140625" customHeight="1"/>
  <cols>
    <col min="1" max="1" width="11.00390625" customWidth="1"/>
    <col min="2" max="2" width="12.00390625" customWidth="1"/>
    <col min="3" max="3" width="14.00390625" customWidth="1"/>
    <col min="4" max="4" width="40.00390625" customWidth="1"/>
    <col min="5" max="5" width="14.00390625" customWidth="1"/>
    <col min="6" max="6" width="12.00390625" customWidth="1"/>
    <col min="7" max="7" width="28.00390625" customWidth="1"/>
    <col min="8" max="8" width="20.00390625" customWidth="1"/>
    <col min="9" max="9" width="14.00390625" customWidth="1"/>
    <col min="10" max="10" width="12.00390625" customWidth="1"/>
  </cols>
  <sheetData>
    <row r="1" ht="15" customHeight="1">
      <c r="A1" s="1" t="s">
        <v>339</v>
      </c>
    </row>
    <row r="2" ht="15" customHeight="1">
      <c r="A2" s="2" t="s">
        <v>340</v>
      </c>
    </row>
    <row r="4" ht="15" customHeight="1">
      <c r="A4" s="10" t="s">
        <v>341</v>
      </c>
      <c r="B4" s="10" t="s">
        <v>342</v>
      </c>
      <c r="C4" s="10" t="s">
        <v>343</v>
      </c>
      <c r="D4" s="10" t="s">
        <v>344</v>
      </c>
      <c r="E4" s="10" t="s">
        <v>345</v>
      </c>
      <c r="F4" s="10" t="s">
        <v>346</v>
      </c>
      <c r="G4" s="10" t="s">
        <v>347</v>
      </c>
      <c r="H4" s="10" t="s">
        <v>348</v>
      </c>
      <c r="I4" s="10" t="s">
        <v>349</v>
      </c>
      <c r="J4" s="10" t="s">
        <v>350</v>
      </c>
    </row>
    <row r="5" ht="1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6" ht="1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15" customHeight="1">
      <c r="A7" s="15"/>
      <c r="B7" s="15"/>
      <c r="C7" s="15"/>
      <c r="D7" s="15"/>
      <c r="E7" s="15"/>
      <c r="F7" s="15"/>
      <c r="G7" s="15"/>
      <c r="H7" s="15"/>
      <c r="I7" s="15"/>
      <c r="J7" s="15"/>
    </row>
    <row r="8" ht="15" customHeight="1">
      <c r="A8" s="15"/>
      <c r="B8" s="15"/>
      <c r="C8" s="15"/>
      <c r="D8" s="15"/>
      <c r="E8" s="15"/>
      <c r="F8" s="15"/>
      <c r="G8" s="15"/>
      <c r="H8" s="15"/>
      <c r="I8" s="15"/>
      <c r="J8" s="15"/>
    </row>
    <row r="9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ht="1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ht="1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ht="1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ht="1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ht="1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ht="1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ht="1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ht="1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</sheetData>
  <dataValidations count="2">
    <dataValidation allowBlank="1" sqref="F5:F40" type="list">
      <formula1>"Yes,No,Deferred"</formula1>
    </dataValidation>
    <dataValidation allowBlank="1" sqref="E5:E40" type="list">
      <formula1>"Add,Modify,Remove"</formula1>
    </dataValidation>
  </dataValidation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0D0ED7E-429D-48A9-BF09-24983B1D35FC}" mc:Ignorable="x14ac xr xr2 xr3">
  <dimension ref="A1:E16"/>
  <sheetViews>
    <sheetView topLeftCell="A1" workbookViewId="0">
      <selection activeCell="A1" sqref="A1"/>
    </sheetView>
  </sheetViews>
  <sheetFormatPr defaultRowHeight="15" defaultColWidth="9.140625" customHeight="1"/>
  <cols>
    <col min="1" max="1" width="18.00390625" customWidth="1"/>
    <col min="2" max="2" width="12.00390625" customWidth="1"/>
    <col min="3" max="3" width="4.00390625" customWidth="1"/>
    <col min="4" max="4" width="26.00390625" customWidth="1"/>
    <col min="5" max="5" width="12.00390625" customWidth="1"/>
  </cols>
  <sheetData>
    <row r="1" ht="15" customHeight="1">
      <c r="A1" s="1" t="s">
        <v>351</v>
      </c>
    </row>
    <row r="2" ht="15" customHeight="1">
      <c r="A2" s="2" t="s">
        <v>352</v>
      </c>
    </row>
    <row r="4" ht="15" customHeight="1">
      <c r="A4" s="3" t="s">
        <v>353</v>
      </c>
      <c r="B4" s="17">
        <f>_xlfn.IFERROR(AVERAGE('Task Tracker'!H5:H200),0)</f>
      </c>
    </row>
    <row r="6" ht="15" customHeight="1">
      <c r="A6" s="3" t="s">
        <v>354</v>
      </c>
      <c r="D6" s="3" t="s">
        <v>355</v>
      </c>
    </row>
    <row r="7" ht="15" customHeight="1">
      <c r="A7" s="18" t="s">
        <v>11</v>
      </c>
      <c r="B7" s="19">
        <f>COUNTIF('Task Tracker'!G5:G200,"Done")</f>
      </c>
      <c r="D7" s="19" t="s">
        <v>104</v>
      </c>
      <c r="E7" s="20">
        <f>_xlfn.IFERROR(_xlfn.AVERAGEIF('Task Tracker'!A5:A200,"Foundations",'Task Tracker'!H5:H200),0)</f>
      </c>
    </row>
    <row r="8" ht="15" customHeight="1">
      <c r="A8" s="21" t="s">
        <v>12</v>
      </c>
      <c r="B8" s="19">
        <f>COUNTIF('Task Tracker'!G5:G200,"In Progress")</f>
      </c>
      <c r="D8" s="19" t="s">
        <v>32</v>
      </c>
      <c r="E8" s="20">
        <f>_xlfn.IFERROR(_xlfn.AVERAGEIF('Task Tracker'!A5:A200,"Module A — Scheduling",'Task Tracker'!H5:H200),0)</f>
      </c>
    </row>
    <row r="9" ht="15" customHeight="1">
      <c r="A9" s="22" t="s">
        <v>13</v>
      </c>
      <c r="B9" s="19">
        <f>COUNTIF('Task Tracker'!G5:G200,"In Review")</f>
      </c>
      <c r="D9" s="19" t="s">
        <v>35</v>
      </c>
      <c r="E9" s="20">
        <f>_xlfn.IFERROR(_xlfn.AVERAGEIF('Task Tracker'!A5:A200,"Module B — Scorecard",'Task Tracker'!H5:H200),0)</f>
      </c>
    </row>
    <row r="10" ht="15" customHeight="1">
      <c r="A10" s="23" t="s">
        <v>14</v>
      </c>
      <c r="B10" s="19">
        <f>COUNTIF('Task Tracker'!G5:G200,"Blocked")</f>
      </c>
      <c r="D10" s="19" t="s">
        <v>38</v>
      </c>
      <c r="E10" s="20">
        <f>_xlfn.IFERROR(_xlfn.AVERAGEIF('Task Tracker'!A5:A200,"Module C — Alignment",'Task Tracker'!H5:H200),0)</f>
      </c>
    </row>
    <row r="11" ht="15" customHeight="1">
      <c r="A11" s="24" t="s">
        <v>15</v>
      </c>
      <c r="B11" s="19">
        <f>COUNTIF('Task Tracker'!G5:G200,"Not Started")</f>
      </c>
      <c r="D11" s="19" t="s">
        <v>41</v>
      </c>
      <c r="E11" s="20">
        <f>_xlfn.IFERROR(_xlfn.AVERAGEIF('Task Tracker'!A5:A200,"Module D — Vendor Prep",'Task Tracker'!H5:H200),0)</f>
      </c>
    </row>
    <row r="12" ht="15" customHeight="1">
      <c r="A12" s="25" t="s">
        <v>356</v>
      </c>
      <c r="B12" s="25">
        <f>COUNTA('Task Tracker'!B5:B200)</f>
      </c>
      <c r="D12" s="19" t="s">
        <v>44</v>
      </c>
      <c r="E12" s="20">
        <f>_xlfn.IFERROR(_xlfn.AVERAGEIF('Task Tracker'!A5:A200,"Module E — Meeting",'Task Tracker'!H5:H200),0)</f>
      </c>
    </row>
    <row r="13" ht="15" customHeight="1">
      <c r="D13" s="19" t="s">
        <v>47</v>
      </c>
      <c r="E13" s="20">
        <f>_xlfn.IFERROR(_xlfn.AVERAGEIF('Task Tracker'!A5:A200,"Module F — Analytics",'Task Tracker'!H5:H200),0)</f>
      </c>
    </row>
    <row r="14" ht="15" customHeight="1">
      <c r="D14" s="19" t="s">
        <v>242</v>
      </c>
      <c r="E14" s="20">
        <f>_xlfn.IFERROR(_xlfn.AVERAGEIF('Task Tracker'!A5:A200,"Admin &amp; Branding",'Task Tracker'!H5:H200),0)</f>
      </c>
    </row>
    <row r="15" ht="15" customHeight="1">
      <c r="D15" s="19" t="s">
        <v>252</v>
      </c>
      <c r="E15" s="20">
        <f>_xlfn.IFERROR(_xlfn.AVERAGEIF('Task Tracker'!A5:A200,"Deployment &amp; Go-Live",'Task Tracker'!H5:H200),0)</f>
      </c>
    </row>
    <row r="16" ht="15" customHeight="1">
      <c r="D16" s="19" t="s">
        <v>280</v>
      </c>
      <c r="E16" s="20">
        <f>_xlfn.IFERROR(_xlfn.AVERAGEIF('Task Tracker'!A5:A200,"Compliance (Shell)",'Task Tracker'!H5:H200),0)</f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2026-06-18T10:18:57Z</dcterms:created>
  <dcterms:modified xsi:type="dcterms:W3CDTF">2026-06-18T10:25:46Z</dcterms:modified>
</cp:coreProperties>
</file>